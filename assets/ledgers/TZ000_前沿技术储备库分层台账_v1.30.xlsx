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储备库分层台账" sheetId="1" state="visible" r:id="rId1"/>
    <sheet xmlns:r="http://schemas.openxmlformats.org/officeDocument/2006/relationships" name="分层汇总" sheetId="2" state="visible" r:id="rId2"/>
    <sheet xmlns:r="http://schemas.openxmlformats.org/officeDocument/2006/relationships" name="字段与评级说明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33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Noto Sans CJK SC"/>
      <charset val="1"/>
      <family val="2"/>
      <b val="1"/>
      <color rgb="FF1F4E79"/>
      <sz val="14"/>
    </font>
    <font>
      <name val="黑体"/>
      <charset val="1"/>
      <family val="0"/>
      <b val="1"/>
      <color rgb="FF1F4E79"/>
      <sz val="14"/>
    </font>
    <font>
      <name val="Noto Sans CJK SC"/>
      <charset val="1"/>
      <family val="2"/>
      <color rgb="FF808080"/>
      <sz val="9"/>
    </font>
    <font>
      <name val="宋体"/>
      <charset val="1"/>
      <family val="0"/>
      <color rgb="FF808080"/>
      <sz val="9"/>
    </font>
    <font>
      <name val="Noto Sans CJK SC"/>
      <charset val="1"/>
      <family val="2"/>
      <b val="1"/>
      <color rgb="FFFFFFFF"/>
      <sz val="10"/>
    </font>
    <font>
      <name val="宋体"/>
      <charset val="1"/>
      <family val="0"/>
      <color rgb="FF000000"/>
      <sz val="10"/>
    </font>
    <font>
      <name val="Noto Sans CJK SC"/>
      <charset val="1"/>
      <family val="2"/>
      <color rgb="FF000000"/>
      <sz val="10"/>
    </font>
    <font>
      <name val="Noto Sans CJK SC"/>
      <charset val="1"/>
      <family val="2"/>
      <b val="1"/>
      <color rgb="FF1F4E79"/>
      <sz val="10"/>
    </font>
    <font>
      <name val="Noto Sans CJK SC"/>
      <charset val="1"/>
      <family val="2"/>
      <b val="1"/>
      <color rgb="FFC00000"/>
      <sz val="10"/>
    </font>
    <font>
      <name val="Noto Sans CJK SC"/>
      <charset val="1"/>
      <family val="2"/>
      <b val="1"/>
      <color rgb="FF2E7D32"/>
      <sz val="10"/>
    </font>
    <font>
      <name val="宋体"/>
      <charset val="1"/>
      <family val="0"/>
      <color rgb="FF000000"/>
      <sz val="9"/>
    </font>
    <font>
      <name val="Noto Sans CJK SC"/>
      <charset val="1"/>
      <family val="2"/>
      <color rgb="FF000000"/>
      <sz val="9"/>
    </font>
    <font>
      <name val="Noto Sans CJK SC"/>
      <charset val="1"/>
      <family val="2"/>
      <b val="1"/>
      <color rgb="FFC55A11"/>
      <sz val="10"/>
    </font>
    <font>
      <name val="Noto Sans CJK SC"/>
      <charset val="1"/>
      <family val="2"/>
      <b val="1"/>
      <color rgb="FF1F4E79"/>
      <sz val="13"/>
    </font>
    <font>
      <name val="宋体"/>
      <charset val="1"/>
      <family val="0"/>
      <b val="1"/>
      <color rgb="FFFFFFFF"/>
      <sz val="10"/>
    </font>
    <font>
      <name val="宋体"/>
      <charset val="1"/>
      <family val="0"/>
      <b val="1"/>
      <color rgb="FF000000"/>
      <sz val="10"/>
    </font>
    <font>
      <name val="Noto Sans CJK SC"/>
      <charset val="1"/>
      <family val="2"/>
      <b val="1"/>
      <color rgb="FF000000"/>
      <sz val="10"/>
    </font>
    <font>
      <name val="微软雅黑"/>
      <b val="1"/>
      <color rgb="FF1F4E79"/>
      <sz val="14"/>
    </font>
    <font>
      <name val="微软雅黑"/>
      <color theme="1"/>
      <sz val="11"/>
    </font>
    <font>
      <name val="微软雅黑"/>
      <color rgb="FF808080"/>
      <sz val="9"/>
    </font>
    <font>
      <name val="微软雅黑"/>
      <b val="1"/>
      <color rgb="FFFFFFFF"/>
      <sz val="10"/>
    </font>
    <font>
      <name val="微软雅黑"/>
      <color rgb="FF000000"/>
      <sz val="10"/>
    </font>
    <font>
      <name val="微软雅黑"/>
      <b val="1"/>
      <color rgb="FF1F4E79"/>
      <sz val="10"/>
    </font>
    <font>
      <name val="微软雅黑"/>
      <b val="1"/>
      <color rgb="FFC00000"/>
      <sz val="10"/>
    </font>
    <font>
      <name val="微软雅黑"/>
      <b val="1"/>
      <color rgb="FF2E7D32"/>
      <sz val="10"/>
    </font>
    <font>
      <name val="微软雅黑"/>
      <color rgb="FF000000"/>
      <sz val="9"/>
    </font>
    <font>
      <name val="微软雅黑"/>
      <b val="1"/>
      <color rgb="FFC55A11"/>
      <sz val="10"/>
    </font>
    <font>
      <name val="微软雅黑"/>
      <b val="1"/>
      <color rgb="FF1F4E79"/>
      <sz val="13"/>
    </font>
    <font>
      <name val="微软雅黑"/>
      <b val="1"/>
      <color rgb="FF000000"/>
      <sz val="10"/>
    </font>
  </fonts>
  <fills count="15">
    <fill>
      <patternFill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FCE4E4"/>
        <bgColor rgb="FFFCE9D9"/>
      </patternFill>
    </fill>
    <fill>
      <patternFill patternType="solid">
        <fgColor rgb="FFFCE9D9"/>
        <bgColor rgb="FFFCE4E4"/>
      </patternFill>
    </fill>
    <fill>
      <patternFill patternType="solid">
        <fgColor rgb="FFFFF2CC"/>
        <bgColor rgb="FFFCE9D9"/>
      </patternFill>
    </fill>
    <fill>
      <patternFill patternType="solid">
        <fgColor rgb="FFE2EFDA"/>
        <bgColor rgb="FFFCE9D9"/>
      </patternFill>
    </fill>
    <fill>
      <patternFill patternType="solid">
        <fgColor rgb="00FCE4E4"/>
      </patternFill>
    </fill>
    <fill>
      <patternFill patternType="solid">
        <fgColor rgb="00FCE9D9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FFFCE4E4"/>
        <bgColor rgb="FFFCE4E4"/>
      </patternFill>
    </fill>
    <fill>
      <patternFill patternType="solid">
        <fgColor rgb="FFFCE9D9"/>
        <bgColor rgb="FFFCE9D9"/>
      </patternFill>
    </fill>
    <fill>
      <patternFill patternType="solid">
        <fgColor rgb="FFFFF2CC"/>
        <bgColor rgb="FFFFF2CC"/>
      </patternFill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7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center" vertical="center" wrapText="1"/>
    </xf>
    <xf numFmtId="0" fontId="11" fillId="3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left" vertical="center" wrapText="1"/>
    </xf>
    <xf numFmtId="0" fontId="11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general" vertical="bottom"/>
    </xf>
    <xf numFmtId="0" fontId="19" fillId="0" borderId="1" applyAlignment="1" pivotButton="0" quotePrefix="0" xfId="0">
      <alignment horizontal="center" vertical="center" wrapText="1"/>
    </xf>
    <xf numFmtId="0" fontId="20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1" fillId="10" borderId="1" applyAlignment="1" pivotButton="0" quotePrefix="0" xfId="0">
      <alignment horizontal="center" vertical="center" wrapText="1"/>
    </xf>
    <xf numFmtId="0" fontId="11" fillId="11" borderId="1" applyAlignment="1" pivotButton="0" quotePrefix="0" xfId="0">
      <alignment horizontal="center" vertical="center" wrapText="1"/>
    </xf>
    <xf numFmtId="0" fontId="11" fillId="12" borderId="1" applyAlignment="1" pivotButton="0" quotePrefix="0" xfId="0">
      <alignment horizontal="center" vertical="center" wrapText="1"/>
    </xf>
    <xf numFmtId="0" fontId="11" fillId="13" borderId="1" applyAlignment="1" pivotButton="0" quotePrefix="0" xfId="0">
      <alignment horizontal="center" vertical="center" wrapText="1"/>
    </xf>
    <xf numFmtId="0" fontId="11" fillId="14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22" fillId="0" borderId="0" pivotButton="0" quotePrefix="0" xfId="0"/>
    <xf numFmtId="0" fontId="23" fillId="0" borderId="0" applyAlignment="1" pivotButton="0" quotePrefix="0" xfId="0">
      <alignment horizontal="left" vertical="center"/>
    </xf>
    <xf numFmtId="0" fontId="24" fillId="2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center" vertical="center" wrapText="1"/>
    </xf>
    <xf numFmtId="0" fontId="25" fillId="0" borderId="1" applyAlignment="1" pivotButton="0" quotePrefix="0" xfId="0">
      <alignment horizontal="left" vertical="center" wrapText="1"/>
    </xf>
    <xf numFmtId="0" fontId="26" fillId="11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0" fontId="28" fillId="0" borderId="1" applyAlignment="1" pivotButton="0" quotePrefix="0" xfId="0">
      <alignment horizontal="left" vertical="center" wrapText="1"/>
    </xf>
    <xf numFmtId="0" fontId="29" fillId="0" borderId="1" applyAlignment="1" pivotButton="0" quotePrefix="0" xfId="0">
      <alignment horizontal="left" vertical="center" wrapText="1"/>
    </xf>
    <xf numFmtId="0" fontId="30" fillId="0" borderId="1" applyAlignment="1" pivotButton="0" quotePrefix="0" xfId="0">
      <alignment horizontal="left" vertical="center" wrapText="1"/>
    </xf>
    <xf numFmtId="0" fontId="26" fillId="12" borderId="1" applyAlignment="1" pivotButton="0" quotePrefix="0" xfId="0">
      <alignment horizontal="center" vertical="center" wrapText="1"/>
    </xf>
    <xf numFmtId="0" fontId="26" fillId="14" borderId="1" applyAlignment="1" pivotButton="0" quotePrefix="0" xfId="0">
      <alignment horizontal="center" vertical="center" wrapText="1"/>
    </xf>
    <xf numFmtId="0" fontId="27" fillId="0" borderId="1" applyAlignment="1" pivotButton="0" quotePrefix="0" xfId="0">
      <alignment horizontal="left" vertical="center" wrapText="1"/>
    </xf>
    <xf numFmtId="0" fontId="26" fillId="13" borderId="1" applyAlignment="1" pivotButton="0" quotePrefix="0" xfId="0">
      <alignment horizontal="center" vertical="center" wrapText="1"/>
    </xf>
    <xf numFmtId="0" fontId="31" fillId="0" borderId="0" applyAlignment="1" pivotButton="0" quotePrefix="0" xfId="0">
      <alignment horizontal="general" vertical="bottom"/>
    </xf>
    <xf numFmtId="0" fontId="26" fillId="3" borderId="1" applyAlignment="1" pivotButton="0" quotePrefix="0" xfId="0">
      <alignment horizontal="center" vertical="center" wrapText="1"/>
    </xf>
    <xf numFmtId="0" fontId="32" fillId="0" borderId="1" applyAlignment="1" pivotButton="0" quotePrefix="0" xfId="0">
      <alignment horizontal="center" vertical="center" wrapText="1"/>
    </xf>
    <xf numFmtId="0" fontId="26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6" fillId="6" borderId="1" applyAlignment="1" pivotButton="0" quotePrefix="0" xfId="0">
      <alignment horizontal="center" vertical="center" wrapText="1"/>
    </xf>
    <xf numFmtId="0" fontId="26" fillId="0" borderId="1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CE9D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C55A11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23" min="1" max="1"/>
    <col width="26" customWidth="1" style="23" min="2" max="2"/>
    <col width="13" customWidth="1" style="23" min="3" max="3"/>
    <col width="8" customWidth="1" style="23" min="5" max="5"/>
    <col width="9" customWidth="1" style="23" min="6" max="6"/>
    <col width="60" customWidth="1" style="23" min="8" max="8"/>
    <col width="10" customWidth="1" style="23" min="9" max="9"/>
    <col width="12" customWidth="1" style="23" min="12" max="12"/>
    <col width="30" customWidth="1" style="23" min="15" max="15"/>
    <col width="30" customWidth="1" style="23" min="16" max="16"/>
    <col width="30" customWidth="1" style="23" min="17" max="17"/>
    <col width="30" customWidth="1" style="23" min="18" max="18"/>
    <col width="30" customWidth="1" style="23" min="19" max="19"/>
    <col width="30" customWidth="1" style="23" min="20" max="20"/>
    <col width="46" customWidth="1" style="23" min="21" max="21"/>
    <col width="46" customWidth="1" style="23" min="22" max="22"/>
    <col width="46" customWidth="1" style="23" min="23" max="23"/>
    <col width="46" customWidth="1" style="23" min="24" max="24"/>
    <col width="34" customWidth="1" style="23" min="25" max="25"/>
    <col width="8" customWidth="1" style="23" min="26" max="26"/>
    <col width="11" customWidth="1" style="23" min="27" max="27"/>
    <col width="9" customWidth="1" style="23" min="28" max="28"/>
    <col width="12" customWidth="1" style="23" min="29" max="29"/>
    <col width="14" customWidth="1" style="23" min="30" max="30"/>
  </cols>
  <sheetData>
    <row r="1" ht="21.75" customHeight="1" s="23">
      <c r="A1" s="53" t="inlineStr">
        <is>
          <t>前沿技术储备库分层台账（长名单36项 · 动态滚动维护）　v1.30（2026-08-19：8项技术处置档位六维复核调整确认落地（详见README v3.29）；字段改五段式重排——身份分类/研判结论/六维分值/六维研判依据/其余技术内容/管理列；"对我行价值"改"对银行的价值"；"成熟度说明"列内容并入技术成熟度·研判依据后不再单列）（2026-08-19：全表改用微软雅黑字体；战略紧迫度/生态开放度两列按分值上色，并统一I-L四列原不一致的分值配色为1-2分红/3分橙/4-5分绿；处置档位列文字色与背景色改为与储备库层级列一致）（2026-08-19：战略紧迫度/生态开放度两列数据改水平居中，与其余六维分值列对齐一致）</t>
        </is>
      </c>
    </row>
    <row r="2" ht="14.15" customHeight="1" s="23">
      <c r="A2" s="55" t="inlineStr">
        <is>
          <t>依据《FA000工作推进方案（定稿）》附录2/附录3与《PG000前沿技术雷达评估框架》v2.2编制　｜　编制日期：2026-08-19　｜　六维评级均为1-5分制，分值越高对引入越有利；储备库层级配色：粉=布局层，橙=论证层，黄=研究层，绿=观察层</t>
        </is>
      </c>
    </row>
    <row r="3" ht="29.85" customHeight="1" s="23">
      <c r="A3" s="56" t="inlineStr">
        <is>
          <t>序号</t>
        </is>
      </c>
      <c r="B3" s="56" t="inlineStr">
        <is>
          <t>技术名称（中英文）</t>
        </is>
      </c>
      <c r="C3" s="56" t="inlineStr">
        <is>
          <t>所属战略方向</t>
        </is>
      </c>
      <c r="D3" s="56" t="inlineStr">
        <is>
          <t>企业级架构维度</t>
        </is>
      </c>
      <c r="E3" s="56" t="inlineStr">
        <is>
          <t>技术属性</t>
        </is>
      </c>
      <c r="F3" s="56" t="inlineStr">
        <is>
          <t>储备库层级</t>
        </is>
      </c>
      <c r="G3" s="56" t="inlineStr">
        <is>
          <t>处置档位</t>
        </is>
      </c>
      <c r="H3" s="56" t="inlineStr">
        <is>
          <t>研判结论与处置逻辑</t>
        </is>
      </c>
      <c r="I3" s="56" t="inlineStr">
        <is>
          <t>技术成熟度</t>
        </is>
      </c>
      <c r="J3" s="56" t="inlineStr">
        <is>
          <t>战略匹配度</t>
        </is>
      </c>
      <c r="K3" s="56" t="inlineStr">
        <is>
          <t>价值贡献度</t>
        </is>
      </c>
      <c r="L3" s="56" t="inlineStr">
        <is>
          <t>引入可行度</t>
        </is>
      </c>
      <c r="M3" s="56" t="inlineStr">
        <is>
          <t>战略紧迫度</t>
        </is>
      </c>
      <c r="N3" s="56" t="inlineStr">
        <is>
          <t>生态开放度</t>
        </is>
      </c>
      <c r="O3" s="56" t="inlineStr">
        <is>
          <t>技术成熟度·研判依据</t>
        </is>
      </c>
      <c r="P3" s="56" t="inlineStr">
        <is>
          <t>战略匹配度·研判依据</t>
        </is>
      </c>
      <c r="Q3" s="56" t="inlineStr">
        <is>
          <t>价值贡献度·研判依据</t>
        </is>
      </c>
      <c r="R3" s="56" t="inlineStr">
        <is>
          <t>引入可行度·研判依据</t>
        </is>
      </c>
      <c r="S3" s="56" t="inlineStr">
        <is>
          <t>战略紧迫度·研判依据</t>
        </is>
      </c>
      <c r="T3" s="56" t="inlineStr">
        <is>
          <t>生态开放度·研判依据</t>
        </is>
      </c>
      <c r="U3" s="56" t="inlineStr">
        <is>
          <t>定义</t>
        </is>
      </c>
      <c r="V3" s="56" t="inlineStr">
        <is>
          <t>颠覆性趋势（从X到Y）</t>
        </is>
      </c>
      <c r="W3" s="56" t="inlineStr">
        <is>
          <t>对银行的价值</t>
        </is>
      </c>
      <c r="X3" s="56" t="inlineStr">
        <is>
          <t>当前局限性</t>
        </is>
      </c>
      <c r="Y3" s="56" t="inlineStr">
        <is>
          <t>主要来源出处</t>
        </is>
      </c>
      <c r="Z3" s="56" t="inlineStr">
        <is>
          <t>关注度</t>
        </is>
      </c>
      <c r="AA3" s="56" t="inlineStr">
        <is>
          <t>处置状态</t>
        </is>
      </c>
      <c r="AB3" s="56" t="inlineStr">
        <is>
          <t>责任人</t>
        </is>
      </c>
      <c r="AC3" s="56" t="inlineStr">
        <is>
          <t>最近更新日期</t>
        </is>
      </c>
      <c r="AD3" s="56" t="inlineStr">
        <is>
          <t>备注</t>
        </is>
      </c>
      <c r="AE3" s="56" t="inlineStr">
        <is>
          <t>外部来源标注</t>
        </is>
      </c>
    </row>
    <row r="4" ht="45.75" customHeight="1" s="23">
      <c r="A4" s="57" t="inlineStr">
        <is>
          <t>01</t>
        </is>
      </c>
      <c r="B4" s="58" t="inlineStr">
        <is>
          <t>自主型AI智能体（Agentic AI）</t>
        </is>
      </c>
      <c r="C4" s="58" t="inlineStr">
        <is>
          <t>人工智能</t>
        </is>
      </c>
      <c r="D4" s="57" t="inlineStr">
        <is>
          <t>业务（跨应用）</t>
        </is>
      </c>
      <c r="E4" s="57" t="inlineStr">
        <is>
          <t>新兴（向关键演进）</t>
        </is>
      </c>
      <c r="F4" s="59" t="inlineStr">
        <is>
          <t>布局层</t>
        </is>
      </c>
      <c r="G4" s="59" t="inlineStr">
        <is>
          <t>提前布局</t>
        </is>
      </c>
      <c r="H4" s="58" t="inlineStr">
        <is>
          <t>战略匹配度4分、价值贡献度5分双高，叠加战略紧迫度5分（监管指导意见已出台、同业规模化提速），但技术成熟度仅2分、引入可行度3分（安全与治理短板显著），属"方向确定、价值高但尚未成熟"的提前布局典型，宜资源前置、治理先行。建议：①治理先行（参照OWASP／NIST／人行分级分类，先立权限、审计与熔断）；②窄场景试点（低风险可回滚场景验证，暂缓授信／交易的自主授权）；③能力储备（跟踪多智能体编排、可解释性与护栏，储备人才算力）。</t>
        </is>
      </c>
      <c r="I4" s="60" t="n">
        <v>2</v>
      </c>
      <c r="J4" s="61" t="n">
        <v>4</v>
      </c>
      <c r="K4" s="61" t="n">
        <v>5</v>
      </c>
      <c r="L4" s="62" t="n">
        <v>3</v>
      </c>
      <c r="M4" s="61" t="n">
        <v>5</v>
      </c>
      <c r="N4" s="61" t="n">
        <v>4</v>
      </c>
      <c r="O4" s="58" t="inlineStr">
        <is>
          <t>处于Gartner Hype Cycle期望膨胀期顶点，17%组织已部署、60%＋计划两年内部署，窄场景可用、全自主尚不成熟。</t>
        </is>
      </c>
      <c r="P4" s="58" t="inlineStr">
        <is>
          <t>命中人工智能战略方向核心旗舰路径，2025年全球50家最大银行已公布160＋用例。</t>
        </is>
      </c>
      <c r="Q4" s="58" t="inlineStr">
        <is>
          <t>早期落地降本30%–50%，覆盖效率、风控、客户体验、新业务四类价值，长期或重塑软件形态，具战略性潜力。</t>
        </is>
      </c>
      <c r="R4" s="58" t="inlineStr">
        <is>
          <t>短板为安全与治理：幻觉、越权、级联失效等新型攻击面及授信等高风险用途合规待成型，需专项治理投入，非否决级。</t>
        </is>
      </c>
      <c r="S4" s="58" t="inlineStr">
        <is>
          <t>金融监管总局2026年6月已出台安全开发指导意见，Gartner预测2026年底40%企业应用嵌入任务型智能体，延迟布局将拉大与同业差距。</t>
        </is>
      </c>
      <c r="T4" s="58" t="inlineStr">
        <is>
          <t>MCP协议已转由Linux基金会开放治理、月下载约9700万次，A2A协议150＋机构生产使用，多模型多厂商可选，非单点依赖。</t>
        </is>
      </c>
      <c r="U4" s="58" t="inlineStr">
        <is>
          <t>以大模型为核心，能自主感知环境、分解目标、规划任务、调用工具并执行多步操作、在有限人工干预下闭环完成复杂任务的AI系统；区别于仅生成内容的生成式AI，强调自主决策与行动。</t>
        </is>
      </c>
      <c r="V4" s="58" t="inlineStr">
        <is>
          <t>· 从人问AI答的被动问答，到授权AI自主完成任务的主动执行
· 从单一模型调用，到多智能体协同＋工具编排的复合系统
· 从辅助人工的副驾，到承担端到端流程的AI数字员工</t>
        </is>
      </c>
      <c r="W4" s="58" t="inlineStr">
        <is>
          <t>· 效率：客服、运营、合规、授信、报告撰写等自动化，早期落地降本30%–50%
· 风控：实时反欺诈、交易监控、合规检查的自动化编排
· 客户体验：智能客服／理财顾问的多模态、拟人化交互
· 新业务：跨境金融、投研、财富管理的AI数字员工能力储备</t>
        </is>
      </c>
      <c r="X4" s="58" t="inlineStr">
        <is>
          <t>· 幻觉／可解释性：输出不确定、决策链难追溯，高风险场景难直接授权
· 安全与权限：工具调用、越权、记忆投毒、多智能体级联失效等新型攻击面
· 治理成熟度：多数部署仍限窄场景，全自主尚不适用多数企业级场景
· 合规：授信评分等属高风险AI用途，监管框架仍在成型</t>
        </is>
      </c>
      <c r="Y4" s="64" t="inlineStr">
        <is>
          <t>· Gartner《Hype Cycle for Agentic AI／for AI 2025》及2026 CIO调研（2025.08）
· OWASP《Top 10 for Agentic Applications 2026》（2025.12）；新加坡IMDA《Agentic AI治理框架》（2026.01）
· 国内：工行／邮储私有化部署大模型、广西银行桂小AI跨境智能体（2025.09）；人民银行推进大模型金融应用分级分类安全标准
采集时间：2026-07-06。
【2026-07增补】深化研究v2.0（04-01_v2.0）29条参考文献：arXiv 2510.25445/2402.02716/2503.16416；Gartner 2026 Hype Cycle；McKinsey银行运营与利润池测算；MIT NANDA《GenAI Divide 2025》；OWASP《Top 10 for Agentic Applications 2026》；IMDA《Model AI Governance Framework for Agentic AI》（2026-01）；央行2026年科技工作会议。勘误：广西案例应为“汇小二”（广西银行业自律机制联建），非“广西银行桂小AI”。
·【2026-07-14复核增补】金融监管总局《关于银行业保险业人工智能安全开发应用的指导意见》（2026.06.18）；Linux基金会MCP项目统计（2026年初）
·【2026-07-15深化增补】方法论专章依据Gartner《2026 Hype Cycle for Agentic AI》原有引注展开，未新增外部来源。
·【2026-07-15二次更新增补】Gartner《Hype Cycle for Agentic AI, 2026》官方原文(G00842058)及国家金融监督管理总局《关于银行业保险业人工智能安全开发应用的指导意见》(金发〔2026〕8号)官方原文，均已全文存档于CK001（新增引注[32]，引注[5]补全著录信息）。</t>
        </is>
      </c>
      <c r="Z4" s="57" t="inlineStr">
        <is>
          <t>极高</t>
        </is>
      </c>
      <c r="AA4" s="57" t="inlineStr">
        <is>
          <t>在库—已深化研究</t>
        </is>
      </c>
      <c r="AB4" s="58" t="n"/>
      <c r="AC4" s="57" t="inlineStr">
        <is>
          <t>2026-07-14</t>
        </is>
      </c>
      <c r="AD4" s="58" t="inlineStr">
        <is>
          <t>2026-07-06：专题研究深化版v2.0入库（04-01_v2.0，约1.1万字）；四维评级复核无变化，维持布局层/提前布局；勘误：广西案例应为银行业自律机制联建“汇小二”智能体，非“广西银行桂小AI”；已建议AML/KYC智能体试点验证立项；2026-07-06：ZT001_v2.1修订入库（增补雷达四维评级复核表、储备库技术关联分析、NB000年度报告输入建议，对齐最新报告标准）；与034多智能体系统(MAS,Gartner)关联，以Gartner条目为主、本条目为补充；2026-07-14专题研究滚动更新升v3.0</t>
        </is>
      </c>
      <c r="AE4" s="54" t="n"/>
    </row>
    <row r="5" ht="45.75" customHeight="1" s="23">
      <c r="A5" s="57" t="inlineStr">
        <is>
          <t>02</t>
        </is>
      </c>
      <c r="B5" s="58" t="inlineStr">
        <is>
          <t>AI原生应用架构（AI-Native）</t>
        </is>
      </c>
      <c r="C5" s="58" t="inlineStr">
        <is>
          <t>人工智能</t>
        </is>
      </c>
      <c r="D5" s="57" t="inlineStr">
        <is>
          <t>应用</t>
        </is>
      </c>
      <c r="E5" s="57" t="inlineStr">
        <is>
          <t>新兴（向关键演进）</t>
        </is>
      </c>
      <c r="F5" s="59" t="inlineStr">
        <is>
          <t>布局层</t>
        </is>
      </c>
      <c r="G5" s="59" t="inlineStr">
        <is>
          <t>提前布局</t>
        </is>
      </c>
      <c r="H5" s="58" t="inlineStr">
        <is>
          <t>战略匹配度4分、价值贡献度4分，叠加战略紧迫度4分（银行侧已从分散试点转向治理化规模投产），但技术成熟度仅2分、范式与工程实践尚未定型，与自主型AI智能体（001）互为表里（前者为架构底座、后者为其上能力），属提前布局典型，宜在新建／重构应用中试点AI内生设计，同步建立模型治理与评估体系，避免在旧架构上无序外挂。</t>
        </is>
      </c>
      <c r="I5" s="60" t="n">
        <v>2</v>
      </c>
      <c r="J5" s="61" t="n">
        <v>4</v>
      </c>
      <c r="K5" s="61" t="n">
        <v>4</v>
      </c>
      <c r="L5" s="62" t="n">
        <v>3</v>
      </c>
      <c r="M5" s="61" t="n">
        <v>4</v>
      </c>
      <c r="N5" s="62" t="n">
        <v>3</v>
      </c>
      <c r="O5" s="58" t="inlineStr">
        <is>
          <t>AI驱动架构演进主线尚处早期成型，范式与工程实践未定型，处Hype Cycle早期阶段。</t>
        </is>
      </c>
      <c r="P5" s="58" t="inlineStr">
        <is>
          <t>命中人工智能战略方向，为承载智能体能力的架构底座，核心路径。</t>
        </is>
      </c>
      <c r="Q5" s="58" t="inlineStr">
        <is>
          <t>智能编排、流程自动化与个性化服务价值明确，2025年45%工程师获&gt;10%生产力提升，兼具研发效能与业务重塑价值。</t>
        </is>
      </c>
      <c r="R5" s="58" t="inlineStr">
        <is>
          <t>架构范式未定型、重构成本与人才门槛高，需专项投入治理，风险总体可管理。</t>
        </is>
      </c>
      <c r="S5" s="58" t="inlineStr">
        <is>
          <t>银行侧已从分散试点转向治理化、统一编排的规模投产，0—2年内需明确架构路径。</t>
        </is>
      </c>
      <c r="T5" s="58" t="inlineStr">
        <is>
          <t>模型网格下多模型混用趋势渐显，但底层大模型部分厂商仍偏闭源，标准尚未完全统一。</t>
        </is>
      </c>
      <c r="U5" s="58" t="inlineStr">
        <is>
          <t>以AI／大模型为核心构建的应用架构范式，将模型推理、智能编排、数据反馈内生于应用，而非在传统应用上外挂AI能力。</t>
        </is>
      </c>
      <c r="V5" s="58" t="inlineStr">
        <is>
          <t>· 从传统应用＋AI插件，到AI内生的应用架构
· 从确定性流程，到概率式智能编排
· 从人写全部逻辑，到模型＋提示＋工具的软件新形态</t>
        </is>
      </c>
      <c r="W5" s="58" t="inlineStr">
        <is>
          <t>· 智能编排、流程自动化、个性化服务
· 提升研发效率（2025已有45%工程师获&gt;10%生产力提升）
· 重塑客服、营销、运营等应用形态</t>
        </is>
      </c>
      <c r="X5" s="58" t="inlineStr">
        <is>
          <t>· 输出不确定性高、模型治理难
· 架构范式与工程实践尚在形成
· 对数据、算力、人才要求高</t>
        </is>
      </c>
      <c r="Y5" s="64" t="inlineStr">
        <is>
          <t>· Gartner《Hype Cycle for Application Architecture and Integration 2025》
· Gartner《Maturity Model for AI-Native Software Engineering》
· Gartner新闻稿：2026年40%企业应用含任务型智能体（2025.08.26）
采集时间：2026-07-06。
·【2026-07-14复核增补】Datadog《State of AI Engineering》及行业趋势综述（2026）
·【2026-07-15深化增补】Gartner《Hype Cycle for AI in Software Engineering, 2026》（新增第19条引注）</t>
        </is>
      </c>
      <c r="Z5" s="57" t="inlineStr">
        <is>
          <t>高</t>
        </is>
      </c>
      <c r="AA5" s="57" t="inlineStr">
        <is>
          <t>在库—已深化研究</t>
        </is>
      </c>
      <c r="AB5" s="58" t="n"/>
      <c r="AC5" s="57" t="inlineStr">
        <is>
          <t>2026-07-20</t>
        </is>
      </c>
      <c r="AD5" s="58" t="inlineStr">
        <is>
          <t>2026-07-06：ZT002专题深化版v2.0入库（约8千字，16条文献）；国内同业进入渠道级AI原生重构阶段（上海银行手机银行、北京银行京骐平台）；2026-07-06：ZT002_v2.1修订入库（增补雷达四维评级复核表、储备库技术关联分析、NB000年度报告输入建议，对齐最新报告标准）；与036 AI应用开发平台与模型运维(LLMOps,Gartner)关联，以Gartner条目为主、本条目为补充；2026-07-14专题研究滚动更新升v3.0；2026-07-20补入Gartner原图与全文</t>
        </is>
      </c>
      <c r="AE5" s="54" t="n"/>
    </row>
    <row r="6" ht="45.75" customHeight="1" s="23">
      <c r="A6" s="57" t="inlineStr">
        <is>
          <t>03</t>
        </is>
      </c>
      <c r="B6" s="58" t="inlineStr">
        <is>
          <t>事件驱动架构（EDA）</t>
        </is>
      </c>
      <c r="C6" s="58" t="inlineStr">
        <is>
          <t>数据要素／技术</t>
        </is>
      </c>
      <c r="D6" s="57" t="inlineStr">
        <is>
          <t>应用</t>
        </is>
      </c>
      <c r="E6" s="57" t="inlineStr">
        <is>
          <t>关键</t>
        </is>
      </c>
      <c r="F6" s="66" t="inlineStr">
        <is>
          <t>论证层</t>
        </is>
      </c>
      <c r="G6" s="66" t="inlineStr">
        <is>
          <t>系统论证</t>
        </is>
      </c>
      <c r="H6" s="58" t="inlineStr">
        <is>
          <t>技术成熟度4分、战略匹配度4分、价值贡献度4分均衡达标，生态开放度5分（Kafka等开源事实标准、无单点依赖），属技术成熟、需系统验证的典型，宜组织专题论证：围绕实时风控／支付场景，验证事件一致性、容量规划、消息中间件选型与存量系统迁移路径，明确落地边界与SLA。</t>
        </is>
      </c>
      <c r="I6" s="61" t="n">
        <v>4</v>
      </c>
      <c r="J6" s="61" t="n">
        <v>4</v>
      </c>
      <c r="K6" s="61" t="n">
        <v>4</v>
      </c>
      <c r="L6" s="62" t="n">
        <v>3</v>
      </c>
      <c r="M6" s="62" t="n">
        <v>3</v>
      </c>
      <c r="N6" s="61" t="n">
        <v>5</v>
      </c>
      <c r="O6" s="58" t="inlineStr">
        <is>
          <t>Kafka等核心技术成熟、金融业82%＋已采纳，多个行业已有生产案例，落地关键在工程治理。</t>
        </is>
      </c>
      <c r="P6" s="58" t="inlineStr">
        <is>
          <t>命中数据要素／技术战略方向，与实时风控、实时支付、实时营销强相关，为该方向核心技术路径。</t>
        </is>
      </c>
      <c r="Q6" s="58" t="inlineStr">
        <is>
          <t>实时能力直接改善风控时效、客户触达与运营效率，覆盖风控与体验两个以上维度。</t>
        </is>
      </c>
      <c r="R6" s="58" t="inlineStr">
        <is>
          <t>最终一致性与分布式排障复杂，需专项治理投入，技术与实践相对成熟、风险可控。</t>
        </is>
      </c>
      <c r="S6" s="58" t="inlineStr">
        <is>
          <t>实时支付预计2028年全球超5750亿笔，同业已规模化采纳，属3—5年关键推进窗口，尚无强制监管时限。</t>
        </is>
      </c>
      <c r="T6" s="58" t="inlineStr">
        <is>
          <t>Kafka为事实标准、Apache 2.0开源，Confluent、云厂商等多厂商充分竞争，无单点依赖。</t>
        </is>
      </c>
      <c r="U6" s="58" t="inlineStr">
        <is>
          <t>以事件的产生、检测、消费为核心的软件架构风格，组件通过异步事件解耦，实现实时响应与松耦合。</t>
        </is>
      </c>
      <c r="V6" s="58" t="inlineStr">
        <is>
          <t>· 从批处理／同步调用，到实时事件流
· 从紧耦合单体，到松耦合事件驱动
· 支撑实时风控、实时营销与实时支付</t>
        </is>
      </c>
      <c r="W6" s="58" t="inlineStr">
        <is>
          <t>· 实时响应、实时风控与营销
· 实时支付处理与事件驱动的反欺诈
· 系统解耦、弹性扩展与合规审计</t>
        </is>
      </c>
      <c r="X6" s="58" t="inlineStr">
        <is>
          <t>· 事件最终一致性与分布式排障复杂
· 对幂等、监控、消息中间件要求高
· 组织与技能门槛</t>
        </is>
      </c>
      <c r="Y6" s="64" t="inlineStr">
        <is>
          <t>· Confluent《Event-Driven Architecture 完整introduction》
· Latinia／RTInsights：EDA在银行与金融服务的实时化实践（2025）
· ACI Worldwide：实时支付2028年全球超5750亿笔预测
采集时间：2026-07-06。
·【2026-07-14复核增补】Infosys Finacle《Banking Architecture Trend 2026》（2026）</t>
        </is>
      </c>
      <c r="Z6" s="57" t="inlineStr">
        <is>
          <t>中—高</t>
        </is>
      </c>
      <c r="AA6" s="57" t="inlineStr">
        <is>
          <t>在库—已深化研究</t>
        </is>
      </c>
      <c r="AB6" s="58" t="n"/>
      <c r="AC6" s="57" t="inlineStr">
        <is>
          <t>2026-07-14</t>
        </is>
      </c>
      <c r="AD6" s="58" t="inlineStr">
        <is>
          <t>ZT003_v2.0入库；四维复核维持论证层；建议6—9个月双场景论证（实时反欺诈+客户通知）；2026-07-14专题研究滚动更新升v3.0</t>
        </is>
      </c>
      <c r="AE6" s="54" t="n"/>
    </row>
    <row r="7" ht="45.75" customHeight="1" s="23">
      <c r="A7" s="57" t="inlineStr">
        <is>
          <t>04</t>
        </is>
      </c>
      <c r="B7" s="58" t="inlineStr">
        <is>
          <t>WebAssembly（WASM／Edge）</t>
        </is>
      </c>
      <c r="C7" s="58" t="inlineStr">
        <is>
          <t>技术</t>
        </is>
      </c>
      <c r="D7" s="57" t="inlineStr">
        <is>
          <t>应用</t>
        </is>
      </c>
      <c r="E7" s="57" t="inlineStr">
        <is>
          <t>新兴</t>
        </is>
      </c>
      <c r="F7" s="67" t="inlineStr">
        <is>
          <t>观察层</t>
        </is>
      </c>
      <c r="G7" s="67" t="inlineStr">
        <is>
          <t>动态观察</t>
        </is>
      </c>
      <c r="H7" s="58" t="inlineStr">
        <is>
          <t>技术趋势与潜在价值明确，但战略紧迫度评级偏低、对我行尚无明确外部倒逼信号，按六维复核结果转为动态观察：持续跟踪WASI与组件模型生态成熟度、边缘金融与多租户隔离场景的同业实践，待紧迫度信号增强后再评估转入系统论证。</t>
        </is>
      </c>
      <c r="I7" s="62" t="n">
        <v>3</v>
      </c>
      <c r="J7" s="62" t="n">
        <v>3</v>
      </c>
      <c r="K7" s="62" t="n">
        <v>3</v>
      </c>
      <c r="L7" s="62" t="n">
        <v>3</v>
      </c>
      <c r="M7" s="60" t="n">
        <v>2</v>
      </c>
      <c r="N7" s="61" t="n">
        <v>5</v>
      </c>
      <c r="O7" s="58" t="inlineStr">
        <is>
          <t>2025年为生产级拐点，WASI 0.2组件模型确立、服务端部署占比52%首超浏览器端，属早期采用阶段。</t>
        </is>
      </c>
      <c r="P7" s="58" t="inlineStr">
        <is>
          <t>与边缘金融、低延迟计算潜在相关，非当前核心业务旗舰路径，命中技术方向下的路径之一。</t>
        </is>
      </c>
      <c r="Q7" s="58" t="inlineStr">
        <is>
          <t>低延迟、低成本、安全沙箱隔离价值明确，但金融级规模化价值仍待验证。</t>
        </is>
      </c>
      <c r="R7" s="58" t="inlineStr">
        <is>
          <t>生态与工具链尚不完善、金融级适配与运维经验少，需专项投入，风险总体可管理。</t>
        </is>
      </c>
      <c r="S7" s="58" t="inlineStr">
        <is>
          <t>2026年2月WASI 0.3发布、67%受访者已生产使用，但对我行尚无明确外部倒逼信号，可按3—5年布局节奏推进。</t>
        </is>
      </c>
      <c r="T7" s="58" t="inlineStr">
        <is>
          <t>WASI／组件模型为W3C开放标准，WasmEdge、Fermyon等多厂商开源生态，无单点依赖。</t>
        </is>
      </c>
      <c r="U7" s="58" t="inlineStr">
        <is>
          <t>一种可移植、高性能的字节码格式与运行时，使代码以接近原生速度在浏览器、服务端、边缘的安全沙箱中运行。</t>
        </is>
      </c>
      <c r="V7" s="58" t="inlineStr">
        <is>
          <t>· 从浏览器内加速，到浏览器外服务端／边缘／嵌入运行时
· WASI 0.2与组件模型使其2025年跨入生产级
· 安全沙箱支撑多租户与边缘计算</t>
        </is>
      </c>
      <c r="W7" s="58" t="inlineStr">
        <is>
          <t>· 低延迟、低成本、边缘金融（边缘风控、就近计算）
· 安全沙箱多租户隔离
· 跨语言复用与快速冷启动</t>
        </is>
      </c>
      <c r="X7" s="58" t="inlineStr">
        <is>
          <t>· 生态与标准仍在成熟，工具链／调试／库支持不完善
· 金融级适配与运维经验少
· 适配与改造成本高</t>
        </is>
      </c>
      <c r="Y7" s="64" t="inlineStr">
        <is>
          <t>· Platform.uno《The State of WebAssembly 2025/2026》
· Fermyon／WasmEdge：Wasm边缘与AI推理生产实践（2025）
· 行业报道：American Express WASM FaaS、Akamai收购Fermyon（2025）
采集时间：2026-07-06。
·【2026-07-14复核增补】The New Stack及State of WebAssembly 2026（2026.02–04）</t>
        </is>
      </c>
      <c r="Z7" s="57" t="inlineStr">
        <is>
          <t>中</t>
        </is>
      </c>
      <c r="AA7" s="57" t="inlineStr">
        <is>
          <t>在库—已深化研究</t>
        </is>
      </c>
      <c r="AB7" s="58" t="n"/>
      <c r="AC7" s="57" t="inlineStr">
        <is>
          <t>2026-07-14</t>
        </is>
      </c>
      <c r="AD7" s="58" t="inlineStr">
        <is>
          <t>ZT004_v2.0入库；维持研究层；单点POC+季度跟踪，升档信号：WASI 0.3+国内云厂商GA；2026-07-14专题研究滚动更新升v3.0</t>
        </is>
      </c>
      <c r="AE7" s="54" t="n"/>
    </row>
    <row r="8" ht="45.75" customHeight="1" s="23">
      <c r="A8" s="57" t="inlineStr">
        <is>
          <t>05</t>
        </is>
      </c>
      <c r="B8" s="58" t="inlineStr">
        <is>
          <t>数据织网（Data Fabric）</t>
        </is>
      </c>
      <c r="C8" s="58" t="inlineStr">
        <is>
          <t>数据要素</t>
        </is>
      </c>
      <c r="D8" s="57" t="inlineStr">
        <is>
          <t>数据</t>
        </is>
      </c>
      <c r="E8" s="57" t="inlineStr">
        <is>
          <t>关键</t>
        </is>
      </c>
      <c r="F8" s="59" t="inlineStr">
        <is>
          <t>布局层</t>
        </is>
      </c>
      <c r="G8" s="59" t="inlineStr">
        <is>
          <t>提前布局</t>
        </is>
      </c>
      <c r="H8" s="58" t="inlineStr">
        <is>
          <t>战略匹配度5分（数据要素核心战略方向被明确点名的旗舰能力）、价值贡献度4分，技术成熟度3分处早期采用阶段，属方向明确、宜提前布局的典型，建议优先建设主动元数据与统一数据访问层能力，选取高价值域先行，逐步向AI-Ready数据演进；数据网格（006）现处观察层，待其信号增强后再行统筹协同规划。</t>
        </is>
      </c>
      <c r="I8" s="62" t="n">
        <v>3</v>
      </c>
      <c r="J8" s="61" t="n">
        <v>5</v>
      </c>
      <c r="K8" s="61" t="n">
        <v>4</v>
      </c>
      <c r="L8" s="62" t="n">
        <v>3</v>
      </c>
      <c r="M8" s="62" t="n">
        <v>3</v>
      </c>
      <c r="N8" s="62" t="n">
        <v>3</v>
      </c>
      <c r="O8" s="58" t="inlineStr">
        <is>
          <t>Gartner数据管理成熟度曲线处泡沫破裂低谷期（走向成熟信号），22%组织已实施，属早期采用阶段。</t>
        </is>
      </c>
      <c r="P8" s="58" t="inlineStr">
        <is>
          <t>命中数据要素核心战略方向，且为该方向被明确点名的支撑AI-Ready数据的旗舰能力。</t>
        </is>
      </c>
      <c r="Q8" s="58" t="inlineStr">
        <is>
          <t>统一数据视图、降低集成成本、强化治理与血缘，支撑AI战略，覆盖数据治理与AI赋能两个以上维度。</t>
        </is>
      </c>
      <c r="R8" s="58" t="inlineStr">
        <is>
          <t>主动元数据能力要求高、价值兑现周期长、平台投入大，需专项投入治理。</t>
        </is>
      </c>
      <c r="S8" s="58" t="inlineStr">
        <is>
          <t>织网—网格混合架构成为主流（金融业约八成采用混合模式），属3—5年关键窗口，尚无强制监管时限。</t>
        </is>
      </c>
      <c r="T8" s="58" t="inlineStr">
        <is>
          <t>主流开放标准（如Apache Atlas）与商业方案（Informatica等）并存，存在中等成本的替代路径。</t>
        </is>
      </c>
      <c r="U8" s="58" t="inlineStr">
        <is>
          <t>以主动元数据为核心，通过知识图谱与自动化在分布式数据源上编织统一、智能的数据访问与管理层。</t>
        </is>
      </c>
      <c r="V8" s="58" t="inlineStr">
        <is>
          <t>· 从人工集成／搬运，到元数据驱动的自动化编织
· 从数据孤岛，到统一数据视图
· 支撑AI-Ready数据供给</t>
        </is>
      </c>
      <c r="W8" s="58" t="inlineStr">
        <is>
          <t>· 统一数据视图、提升数据可用性、支撑AI
· 降低数据集成成本
· 强化数据治理与血缘</t>
        </is>
      </c>
      <c r="X8" s="58" t="inlineStr">
        <is>
          <t>· 主动元数据能力要求高、元数据治理难
· 价值兑现周期长
· 平台建设投入大</t>
        </is>
      </c>
      <c r="Y8" s="64" t="inlineStr">
        <is>
          <t>· Gartner《What is Data Fabric》及2024数据管理演进调研
· Gartner：2028年80%自治数据产品源于fabric＋mesh互补架构
· Starburst／WhereScape：Gartner关于fabric与mesh的解读
采集时间：2026-07-06。
·【2026-07-14复核增补】Alation／Promethium数据架构比较研究（2026）
·【2026-07-15深化增补】方法论专章依据既有Gartner数据管理成熟度曲线引注（[5][6]）展开，未新增外部来源。</t>
        </is>
      </c>
      <c r="Z8" s="57" t="inlineStr">
        <is>
          <t>高</t>
        </is>
      </c>
      <c r="AA8" s="57" t="inlineStr">
        <is>
          <t>在库—已深化研究</t>
        </is>
      </c>
      <c r="AB8" s="58" t="n"/>
      <c r="AC8" s="57" t="inlineStr">
        <is>
          <t>2026-07-20</t>
        </is>
      </c>
      <c r="AD8" s="58" t="inlineStr">
        <is>
          <t>2026-07-06：ZT005专题深化版v2.0入库（约7千字，10条文献）；数据管理耗时最高可降50%（Gartner）；同业案例72h→15min；2026-07-06：ZT005_v2.1修订入库（增补雷达四维评级复核表、储备库技术关联分析、NB000年度报告输入建议，对齐最新报告标准）；2026-07-14专题研究滚动更新升v3.0；2026-07-20补入Gartner原图与全文</t>
        </is>
      </c>
      <c r="AE8" s="54" t="n"/>
    </row>
    <row r="9" ht="45.75" customHeight="1" s="23">
      <c r="A9" s="57" t="inlineStr">
        <is>
          <t>06</t>
        </is>
      </c>
      <c r="B9" s="58" t="inlineStr">
        <is>
          <t>数据网格（Data Mesh）</t>
        </is>
      </c>
      <c r="C9" s="58" t="inlineStr">
        <is>
          <t>数据要素</t>
        </is>
      </c>
      <c r="D9" s="57" t="inlineStr">
        <is>
          <t>数据</t>
        </is>
      </c>
      <c r="E9" s="57" t="inlineStr">
        <is>
          <t>新兴</t>
        </is>
      </c>
      <c r="F9" s="67" t="inlineStr">
        <is>
          <t>观察层</t>
        </is>
      </c>
      <c r="G9" s="67" t="inlineStr">
        <is>
          <t>动态观察</t>
        </is>
      </c>
      <c r="H9" s="58" t="inlineStr">
        <is>
          <t>理念扩散但组织门槛高、战略紧迫度评级偏低，按六维复核结果转为动态观察：持续跟踪头部机构完整实施案例与联邦治理框架成熟度，并与数据织网（005）协同关注，待紧迫度信号增强或治理路径更清晰后再评估转入系统论证，避免为去中心化而去中心化。</t>
        </is>
      </c>
      <c r="I9" s="62" t="n">
        <v>3</v>
      </c>
      <c r="J9" s="62" t="n">
        <v>3</v>
      </c>
      <c r="K9" s="62" t="n">
        <v>3</v>
      </c>
      <c r="L9" s="60" t="n">
        <v>2</v>
      </c>
      <c r="M9" s="60" t="n">
        <v>2</v>
      </c>
      <c r="N9" s="62" t="n">
        <v>3</v>
      </c>
      <c r="O9" s="58" t="inlineStr">
        <is>
          <t>理念广泛扩散，完整实施集中于头部机构，属早期采用阶段。</t>
        </is>
      </c>
      <c r="P9" s="58" t="inlineStr">
        <is>
          <t>命中数据要素战略方向下的技术路径之一，非该方向核心旗舰单列。</t>
        </is>
      </c>
      <c r="Q9" s="58" t="inlineStr">
        <is>
          <t>数据产品化、敏捷创新价值明确，但兑现高度依赖组织协同，单一维度价值为主。</t>
        </is>
      </c>
      <c r="R9" s="58" t="inlineStr">
        <is>
          <t>跨域组织协同、标准统一难度大，易碎片化，需专项立项治理方可能推进。</t>
        </is>
      </c>
      <c r="S9" s="58" t="inlineStr">
        <is>
          <t>理念扩散但尚无明确外部倒逼信号，与数据织网协同的混合模式渐成主流，可按3—5年布局节奏推进。</t>
        </is>
      </c>
      <c r="T9" s="58" t="inlineStr">
        <is>
          <t>部分工具已开源（如数据目录类组件），但联邦治理框架无统一行业标准，中等成本替代路径存在。</t>
        </is>
      </c>
      <c r="U9" s="58" t="inlineStr">
        <is>
          <t>一种去中心化的数据架构与组织范式，将数据视为产品、由业务域自治拥有，配以自助数据平台与联邦治理。</t>
        </is>
      </c>
      <c r="V9" s="58" t="inlineStr">
        <is>
          <t>· 从集中式数据团队，到业务域自治的数据产品
· 从数据即副产品，到数据即产品
· 架构与组织的双重变革</t>
        </is>
      </c>
      <c r="W9" s="58" t="inlineStr">
        <is>
          <t>· 数据所有权下沉、敏捷创新、数据产品化
· 释放业务域数据价值
· 与Data Fabric互补支撑数据产品交付</t>
        </is>
      </c>
      <c r="X9" s="58" t="inlineStr">
        <is>
          <t>· 标准统一难、跨域组织协同难
· 对数据成熟度与治理要求高
· 易碎片化</t>
        </is>
      </c>
      <c r="Y9" s="64" t="inlineStr">
        <is>
          <t>· Gartner《Data Fabric and Data Mesh: same or different》
· Gartner 2024数据管理演进调研（26%采用data mesh）
· Alation／Intellias：data mesh与data fabric对比（2025/2026）
采集时间：2026-07-06。
·【2026-07-14复核增补】Alation／Promethium数据架构比较研究（2026）</t>
        </is>
      </c>
      <c r="Z9" s="57" t="inlineStr">
        <is>
          <t>中</t>
        </is>
      </c>
      <c r="AA9" s="57" t="inlineStr">
        <is>
          <t>在库—已深化研究</t>
        </is>
      </c>
      <c r="AB9" s="58" t="n"/>
      <c r="AC9" s="57" t="inlineStr">
        <is>
          <t>2026-07-20</t>
        </is>
      </c>
      <c r="AD9" s="58" t="inlineStr">
        <is>
          <t>ZT006_v2.0入库；维持研究层；与ZT005错峰，织网地基完成后复评试点；2026-07-14专题研究滚动更新升v3.0；2026-07-20补入Gartner原图与全文</t>
        </is>
      </c>
      <c r="AE9" s="54" t="n"/>
    </row>
    <row r="10" ht="45.75" customHeight="1" s="23">
      <c r="A10" s="57" t="inlineStr">
        <is>
          <t>07</t>
        </is>
      </c>
      <c r="B10" s="58" t="inlineStr">
        <is>
          <t>后量子密码学（PQC）/后量子身份验证（PQA）</t>
        </is>
      </c>
      <c r="C10" s="58" t="inlineStr">
        <is>
          <t>量子科技／安全</t>
        </is>
      </c>
      <c r="D10" s="57" t="inlineStr">
        <is>
          <t>安全</t>
        </is>
      </c>
      <c r="E10" s="57" t="inlineStr">
        <is>
          <t>关键</t>
        </is>
      </c>
      <c r="F10" s="67" t="inlineStr">
        <is>
          <t>观察层</t>
        </is>
      </c>
      <c r="G10" s="67" t="inlineStr">
        <is>
          <t>动态观察</t>
        </is>
      </c>
      <c r="H10" s="58" t="inlineStr">
        <is>
          <t>标准已定、监管倒逼窗口明确，但引入可行度触及否决线（改造范围广、成本高、需与国密路线协调、迁移周期约10年），按六维复核短板原则转为动态观察，并优先突破可行度短板：建议同步开展密码资产盘点与迁移成本／工期测算，形成可分阶段实施的路线后再评估转入系统论证；因战略紧迫度评级高，观察频率应高于一般观察层条目，纳入年度密码资产盘点与G7路线图关键节点重点跟踪。</t>
        </is>
      </c>
      <c r="I10" s="62" t="n">
        <v>3</v>
      </c>
      <c r="J10" s="61" t="n">
        <v>5</v>
      </c>
      <c r="K10" s="61" t="n">
        <v>4</v>
      </c>
      <c r="L10" s="60" t="n">
        <v>2</v>
      </c>
      <c r="M10" s="61" t="n">
        <v>5</v>
      </c>
      <c r="N10" s="61" t="n">
        <v>5</v>
      </c>
      <c r="O10" s="58" t="inlineStr">
        <is>
          <t>NIST FIPS 203/204/205已定稿，进入迁移期，标准初定，属早期采用阶段。</t>
        </is>
      </c>
      <c r="P10" s="58" t="inlineStr">
        <is>
          <t>命中量子科技／安全双战略方向，关系全行密码体系安全合规。</t>
        </is>
      </c>
      <c r="Q10" s="58" t="inlineStr">
        <is>
          <t>保障长期数据安全、规避"先存后解"威胁，覆盖安全合规与长周期数据保护两个以上维度。</t>
        </is>
      </c>
      <c r="R10" s="58" t="inlineStr">
        <is>
          <t>改造范围广、成本高，需与国密路线协调、迁移周期长约10年，需专项立项治理，触发引入可行度否决线。</t>
        </is>
      </c>
      <c r="S10" s="58" t="inlineStr">
        <is>
          <t>G7金融业PQC路线图要求2030—2032年迁移、NSA CNSA2.0要求2030年停用RSA/ECDH，英国NCSC要求2028年前完成迁移，延迟将产生显著合规风险。</t>
        </is>
      </c>
      <c r="T10" s="58" t="inlineStr">
        <is>
          <t>NIST公开标准算法体系，全球开放、非单一厂商方案。</t>
        </is>
      </c>
      <c r="U10" s="58" t="inlineStr">
        <is>
          <t>能抵抗量子计算攻击的密码算法体系，用于替换现有易受量子威胁的RSA／ECC等公钥密码。</t>
        </is>
      </c>
      <c r="V10" s="58" t="inlineStr">
        <is>
          <t>· 从经典公钥密码，到抗量子密码
· NIST 2024.8发布FIPS 203/204/205标准
· 先存后解威胁驱动提前迁移与密码敏捷</t>
        </is>
      </c>
      <c r="W10" s="58" t="inlineStr">
        <is>
          <t>· 抗量子、保障长期数据安全与合规
· 应对harvest now, decrypt later威胁
· 推动密码敏捷性建设</t>
        </is>
      </c>
      <c r="X10" s="58" t="inlineStr">
        <is>
          <t>· 性能与带宽开销
· 密码敏捷改造范围广、成本高
· 与国密路线协调；迁移周期长（约10年）</t>
        </is>
      </c>
      <c r="Y10" s="64" t="inlineStr">
        <is>
          <t>· NIST：FIPS 203/204/205（2024.08.13）；FIPS 206 与 HQC 草案（2026）；IR 8547 迁移指引；CSWP 39 密码敏捷（2025.12.19）
· G7 网络专家组《金融业 PQC 路线图》（2026-01-13）；美国 PQC 迁移行政令（2026-06-22）
· NSA CNSA 2.0 迁移时间表（2030/2033）；FIPS 140-2 认证2026-09-21转历史状态
采集时间：2026-07-07（复核更新）。
·【2026-07-14复核增补】美国白宫M-26-15备忘录（2026.06）；英国NCSC迁移时间表更新（2026.02）</t>
        </is>
      </c>
      <c r="Z10" s="57" t="inlineStr">
        <is>
          <t>高</t>
        </is>
      </c>
      <c r="AA10" s="57" t="inlineStr">
        <is>
          <t>在库—已深化研究</t>
        </is>
      </c>
      <c r="AB10" s="58" t="n"/>
      <c r="AC10" s="57" t="inlineStr">
        <is>
          <t>2026-07-14</t>
        </is>
      </c>
      <c r="AD10" s="58" t="inlineStr">
        <is>
          <t>ZT007_v2.0入库；维持研究层但列研究层第一优先级；建议即刻启动密码资产盘点试点 | 2026-07-07按新名称复核刷新，去除别名“（原：后量子加密PQC）”；2026-07-14专题研究滚动更新升v3.0</t>
        </is>
      </c>
      <c r="AE10" s="58" t="inlineStr">
        <is>
          <t>Gartner分析师20260612推荐</t>
        </is>
      </c>
    </row>
    <row r="11" ht="45.75" customHeight="1" s="23">
      <c r="A11" s="57" t="inlineStr">
        <is>
          <t>08</t>
        </is>
      </c>
      <c r="B11" s="58" t="inlineStr">
        <is>
          <t>零信任架构（Zero Trust）</t>
        </is>
      </c>
      <c r="C11" s="58" t="inlineStr">
        <is>
          <t>安全</t>
        </is>
      </c>
      <c r="D11" s="57" t="inlineStr">
        <is>
          <t>安全</t>
        </is>
      </c>
      <c r="E11" s="57" t="inlineStr">
        <is>
          <t>关键</t>
        </is>
      </c>
      <c r="F11" s="66" t="inlineStr">
        <is>
          <t>论证层</t>
        </is>
      </c>
      <c r="G11" s="66" t="inlineStr">
        <is>
          <t>系统论证</t>
        </is>
      </c>
      <c r="H11" s="58" t="inlineStr">
        <is>
          <t>技术成熟度4分（NIST SP 800-207成熟框架）、战略匹配度4分、价值贡献度4分均衡达标，宜组织系统论证分阶段落地：先夯实身份基础设施，选取高价值保护面试点微隔离与持续验证，制定遗留系统适配与体验平衡方案。</t>
        </is>
      </c>
      <c r="I11" s="61" t="n">
        <v>4</v>
      </c>
      <c r="J11" s="61" t="n">
        <v>4</v>
      </c>
      <c r="K11" s="61" t="n">
        <v>4</v>
      </c>
      <c r="L11" s="62" t="n">
        <v>3</v>
      </c>
      <c r="M11" s="62" t="n">
        <v>3</v>
      </c>
      <c r="N11" s="61" t="n">
        <v>4</v>
      </c>
      <c r="O11" s="58" t="inlineStr">
        <is>
          <t>NIST SP 800-207为成熟框架，SP 1800-35已发布最终版，金融业普遍推进，多个机构已有生产案例。</t>
        </is>
      </c>
      <c r="P11" s="58" t="inlineStr">
        <is>
          <t>命中安全战略方向核心旗舰路径，契合远程办公与多云安全访问需求。</t>
        </is>
      </c>
      <c r="Q11" s="58" t="inlineStr">
        <is>
          <t>显著降低横向移动与内部威胁风险，覆盖安全与合规两个以上维度。</t>
        </is>
      </c>
      <c r="R11" s="58" t="inlineStr">
        <is>
          <t>遗留单体系统微隔离难、改造范围广、需成熟身份基础设施，需专项投入治理。</t>
        </is>
      </c>
      <c r="S11" s="58" t="inlineStr">
        <is>
          <t>零信任边界正扩展至AI智能体访问治理，82%机构已有共识但落地仅17%，属3—5年关键窗口。</t>
        </is>
      </c>
      <c r="T11" s="58" t="inlineStr">
        <is>
          <t>NIST公开标准，多厂商方案（含开源与商业）可选，具备国产化替代路径。</t>
        </is>
      </c>
      <c r="U11" s="58" t="inlineStr">
        <is>
          <t>从不信任、持续验证的安全架构范式，以身份为中心、最小权限、动态访问控制取代边界信任（NIST SP 800-207）。</t>
        </is>
      </c>
      <c r="V11" s="58" t="inlineStr">
        <is>
          <t>· 从边界防御，到持续验证
· 从网络位置信任，到身份与上下文信任
· 微隔离与最小权限</t>
        </is>
      </c>
      <c r="W11" s="58" t="inlineStr">
        <is>
          <t>· 最小权限、持续验证、安全访问
· 降低横向移动与内部威胁风险
· 支撑远程办公与多云安全访问</t>
        </is>
      </c>
      <c r="X11" s="58" t="inlineStr">
        <is>
          <t>· 体验下降、老旧单体系统适配难（微隔离难）
· 改造范围广
· 需成熟的身份基础设施</t>
        </is>
      </c>
      <c r="Y11" s="64" t="inlineStr">
        <is>
          <t>· NIST SP 800-207《Zero Trust Architecture》
· NIST NCCoE《Implementing a Zero Trust Architecture》
· 研究文献：零信任在现代银行平台的落地与遗留系统挑战（2025）
采集时间：2026-07-06。
·【2026-07-14复核增补】ISACA《Preparing Zero Trust for AI Disruption》（2026）</t>
        </is>
      </c>
      <c r="Z11" s="57" t="inlineStr">
        <is>
          <t>中—高</t>
        </is>
      </c>
      <c r="AA11" s="57" t="inlineStr">
        <is>
          <t>在库—已深化研究</t>
        </is>
      </c>
      <c r="AB11" s="58" t="n"/>
      <c r="AC11" s="57" t="inlineStr">
        <is>
          <t>2026-07-14</t>
        </is>
      </c>
      <c r="AD11" s="58" t="inlineStr">
        <is>
          <t>ZT008_v2.0入库；维持论证层；建议成熟度基线评估+远程运维/微分段双试点；2026-07-14专题研究滚动更新升v3.0</t>
        </is>
      </c>
      <c r="AE11" s="54" t="n"/>
    </row>
    <row r="12" ht="45.75" customHeight="1" s="23">
      <c r="A12" s="57" t="inlineStr">
        <is>
          <t>09</t>
        </is>
      </c>
      <c r="B12" s="58" t="inlineStr">
        <is>
          <t>量子计算（Quantum）</t>
        </is>
      </c>
      <c r="C12" s="58" t="inlineStr">
        <is>
          <t>量子科技</t>
        </is>
      </c>
      <c r="D12" s="57" t="inlineStr">
        <is>
          <t>技术</t>
        </is>
      </c>
      <c r="E12" s="57" t="inlineStr">
        <is>
          <t>未来</t>
        </is>
      </c>
      <c r="F12" s="67" t="inlineStr">
        <is>
          <t>观察层</t>
        </is>
      </c>
      <c r="G12" s="67" t="inlineStr">
        <is>
          <t>动态观察</t>
        </is>
      </c>
      <c r="H12" s="58" t="inlineStr">
        <is>
          <t>技术成熟度2分、价值贡献度2分（87%机构视为机遇但73%未找到实用场景），战略紧迫度仅1分（容错系统预计2029年后落地，5年以上长期赛道），属动态观察典型，宜持续跟踪硬件与纠错进展及金融用例，保持小规模学习与生态接触；同时与后量子密码学（007）安全线联动——量子威胁的防御侧应先于计算侧推进。</t>
        </is>
      </c>
      <c r="I12" s="60" t="n">
        <v>2</v>
      </c>
      <c r="J12" s="62" t="n">
        <v>3</v>
      </c>
      <c r="K12" s="60" t="n">
        <v>2</v>
      </c>
      <c r="L12" s="60" t="n">
        <v>2</v>
      </c>
      <c r="M12" s="60" t="n">
        <v>1</v>
      </c>
      <c r="N12" s="62" t="n">
        <v>3</v>
      </c>
      <c r="O12" s="58" t="inlineStr">
        <is>
          <t>Google Willow纠错阈值验证等实验性突破渐增，但容错量子系统尚需数年，处技术触发期爬升阶段。</t>
        </is>
      </c>
      <c r="P12" s="58" t="inlineStr">
        <is>
          <t>命中量子科技战略方向下的技术路径之一，非当前核心业务旗舰应用。</t>
        </is>
      </c>
      <c r="Q12" s="58" t="inlineStr">
        <is>
          <t>风险建模、组合优化为潜在场景，但87%机构视为机遇、73%未找到实用场景，价值难以量化。</t>
        </is>
      </c>
      <c r="R12" s="58" t="inlineStr">
        <is>
          <t>硬件不成熟、商业化有限、投入大、用例不确定，需专项立项治理方可能推进。</t>
        </is>
      </c>
      <c r="S12" s="58" t="inlineStr">
        <is>
          <t>容错系统预计2029年后落地，属5年以上长期赛道，早晚推进对近期结果影响很小。</t>
        </is>
      </c>
      <c r="T12" s="58" t="inlineStr">
        <is>
          <t>IBM、Google、Quantinuum等多厂商技术路线并行竞争，但接口与标准互不统一，中等成本替代路径。</t>
        </is>
      </c>
      <c r="U12" s="58" t="inlineStr">
        <is>
          <t>利用量子叠加与纠缠进行计算的新范式，在特定问题（优化、模拟、因数分解）上具指数级潜力。</t>
        </is>
      </c>
      <c r="V12" s="58" t="inlineStr">
        <is>
          <t>· 从含噪中等规模（NISQ），到容错量子计算
· 2025纠错突破（Google Willow指数级降错；IBM Starling 2029路线）
· 从科研到商业拐点临近</t>
        </is>
      </c>
      <c r="W12" s="58" t="inlineStr">
        <is>
          <t>· 复杂优化、风险建模、蒙特卡洛加速
· 组合优化与投资组合
· 远期的加速计算能力</t>
        </is>
      </c>
      <c r="X12" s="58" t="inlineStr">
        <is>
          <t>· 硬件不成熟、商业化有限
· 容错量子仍需数年
· 金融量子优势用例尚未确认（约73%机构未找到实用场景）</t>
        </is>
      </c>
      <c r="Y12" s="64" t="inlineStr">
        <is>
          <t>· McKinsey《Quantum Technology Monitor 2026》
· Google Willow纠错突破（2024.12）；IBM Starling容错路线（2029）
· 金融业调研：87%视为机遇但73%未找到商用场景
采集时间：2026-07-06。
·【2026-07-14复核增补】IBM量子路线图（2026）；行业年度盘点（2026.06）</t>
        </is>
      </c>
      <c r="Z12" s="57" t="inlineStr">
        <is>
          <t>中—高</t>
        </is>
      </c>
      <c r="AA12" s="57" t="inlineStr">
        <is>
          <t>在库—已深化研究</t>
        </is>
      </c>
      <c r="AB12" s="58" t="n"/>
      <c r="AC12" s="57" t="inlineStr">
        <is>
          <t>2026-07-14</t>
        </is>
      </c>
      <c r="AD12" s="58" t="inlineStr">
        <is>
          <t>ZT009_v2.0入库；维持观察层；四项升档信号清单驱动复评；2026-07-14专题研究滚动更新升v3.0</t>
        </is>
      </c>
      <c r="AE12" s="54" t="n"/>
    </row>
    <row r="13" ht="45.75" customHeight="1" s="23">
      <c r="A13" s="57" t="inlineStr">
        <is>
          <t>10</t>
        </is>
      </c>
      <c r="B13" s="58" t="inlineStr">
        <is>
          <t>算力网络（Compute Network）</t>
        </is>
      </c>
      <c r="C13" s="58" t="inlineStr">
        <is>
          <t>技术／算力</t>
        </is>
      </c>
      <c r="D13" s="57" t="inlineStr">
        <is>
          <t>技术</t>
        </is>
      </c>
      <c r="E13" s="57" t="inlineStr">
        <is>
          <t>关键</t>
        </is>
      </c>
      <c r="F13" s="59" t="inlineStr">
        <is>
          <t>布局层</t>
        </is>
      </c>
      <c r="G13" s="59" t="inlineStr">
        <is>
          <t>提前布局</t>
        </is>
      </c>
      <c r="H13" s="58" t="inlineStr">
        <is>
          <t>政策与产业趋势进一步明确、战略匹配度与价值贡献度评级高，按六维复核结果转为提前布局：结合建设银行贵安、农业银行内蒙古等同业自建数据中心实践，加快推进我行AI算力自建／入网组合策略、弹性调度与成本模型的落地准备，同步跟踪跨域任务级调度标准演进与数据合规方案，为规模化算力布局提前占位。</t>
        </is>
      </c>
      <c r="I13" s="62" t="n">
        <v>3</v>
      </c>
      <c r="J13" s="61" t="n">
        <v>4</v>
      </c>
      <c r="K13" s="61" t="n">
        <v>4</v>
      </c>
      <c r="L13" s="62" t="n">
        <v>3</v>
      </c>
      <c r="M13" s="62" t="n">
        <v>3</v>
      </c>
      <c r="N13" s="62" t="n">
        <v>3</v>
      </c>
      <c r="O13" s="58" t="inlineStr">
        <is>
          <t>东数西算基础设施快速落地（八枢纽215.5 EFLOPS），企业级弹性调度与运营模式仍在完善，属早期采用阶段。</t>
        </is>
      </c>
      <c r="P13" s="58" t="inlineStr">
        <is>
          <t>命中技术／算力战略方向，国家"东数西算""算电协同"政策级推进，为该方向核心路径。</t>
        </is>
      </c>
      <c r="Q13" s="58" t="inlineStr">
        <is>
          <t>弹性调度、降本增效、支撑AI算力供给，覆盖成本优化与AI能力两个以上维度。</t>
        </is>
      </c>
      <c r="R13" s="58" t="inlineStr">
        <is>
          <t>跨域调度复杂、算网协同标准与运营模式仍在建、数据合规待明确，需专项投入治理。</t>
        </is>
      </c>
      <c r="S13" s="58" t="inlineStr">
        <is>
          <t>"算电协同"已写入2026年《政府工作报告》，同业已自建数据中心布局，属3—5年关键窗口，尚无强制个体时限。</t>
        </is>
      </c>
      <c r="T13" s="58" t="inlineStr">
        <is>
          <t>国家枢纽与多云厂商并存，同业以自建为主，算网协同标准仍在建，中等成本替代路径。</t>
        </is>
      </c>
      <c r="U13" s="58" t="inlineStr">
        <is>
          <t>将广域分布的算力资源通过网络统一编排调度、按需供给的新型基础设施（算网融合）。</t>
        </is>
      </c>
      <c r="V13" s="58" t="inlineStr">
        <is>
          <t>· 从孤立数据中心，到东数西算广域算力协同
· 从静态部署，到弹性调度、算力普惠
· 算网一体化</t>
        </is>
      </c>
      <c r="W13" s="58" t="inlineStr">
        <is>
          <t>· 弹性调度、降本增效、算力普惠
· 支撑AI大模型训练／推理的算力供给
· 优化算力成本结构</t>
        </is>
      </c>
      <c r="X13" s="58" t="inlineStr">
        <is>
          <t>· 跨域调度复杂、网络时延与带宽瓶颈
· 算网协同标准与运营模式仍在建
· 跨域数据合规与安全</t>
        </is>
      </c>
      <c r="Y13" s="64" t="inlineStr">
        <is>
          <t>· 新华社／央视：东数西算落子成局（2025）
· 华为与国家信息中心《区域算力网：高速互联篇研究报告》（2025）
· 工信部数据：八枢纽215.5 EFLOPS、智算占比80.8%（2025 Q1）
采集时间：2026-07-06。
·【2026-07-14复核增补】《政府工作报告》算电协同表述及IDC解读（2026.03）
【2026-08-17深化增补】国家数据局2026年工作部署（2026-01）；"东数西算"四年八大枢纽量化数据（2026-02，215.5EFLOPS/智算占比80.8%/市场规模8351亿元）；工业和信息化部《算力互联互通行动计划》（2025-05印发，2026/2028两阶段目标）；国家发展改革委算力调度问题专家访谈（2026-03）；金融监管总局《关于银行业保险业人工智能安全开发应用的指导意见》算力相关条款（2026-06-18）；贵州算力产业发展公开报道（2026-04，Token调用量/成本优势数据）；三大电信运营商2026年算力投资数据（2026-03）；建设银行贵安数据中心、农业银行内蒙古数据中心、交通银行贵安数据中心公开建设信息（2023-2025年）。采集时间：2026-08-17。</t>
        </is>
      </c>
      <c r="Z13" s="57" t="inlineStr">
        <is>
          <t>中—高</t>
        </is>
      </c>
      <c r="AA13" s="57" t="inlineStr">
        <is>
          <t>在库—已深化研究</t>
        </is>
      </c>
      <c r="AB13" s="58" t="n"/>
      <c r="AC13" s="57" t="inlineStr">
        <is>
          <t>2026-07-14</t>
        </is>
      </c>
      <c r="AD13" s="58" t="inlineStr">
        <is>
          <t>ZT010_v2.0入库；维持研究层；建议AI算力需求测算+负载合规分级；2026-07-14专题研究滚动更新升v3.0</t>
        </is>
      </c>
      <c r="AE13" s="54" t="n"/>
    </row>
    <row r="14" ht="45.75" customHeight="1" s="23">
      <c r="A14" s="57" t="inlineStr">
        <is>
          <t>11</t>
        </is>
      </c>
      <c r="B14" s="58" t="inlineStr">
        <is>
          <t>平台工程／IDP（Platform Engineering / IDP）</t>
        </is>
      </c>
      <c r="C14" s="58" t="inlineStr">
        <is>
          <t>技术</t>
        </is>
      </c>
      <c r="D14" s="57" t="inlineStr">
        <is>
          <t>技术</t>
        </is>
      </c>
      <c r="E14" s="57" t="inlineStr">
        <is>
          <t>关键</t>
        </is>
      </c>
      <c r="F14" s="66" t="inlineStr">
        <is>
          <t>论证层</t>
        </is>
      </c>
      <c r="G14" s="66" t="inlineStr">
        <is>
          <t>系统论证</t>
        </is>
      </c>
      <c r="H14" s="58" t="inlineStr">
        <is>
          <t>技术成熟度4分（Gartner预测2026年80%大型组织设平台团队）、战略匹配度4分、价值贡献度4分均衡达标，宜结合我行研发体系系统论证：明确IDP建设范围、黄金路径与平台团队组建，评估投入产出与现有DevOps工具链的整合，避免重复造轮。</t>
        </is>
      </c>
      <c r="I14" s="61" t="n">
        <v>4</v>
      </c>
      <c r="J14" s="61" t="n">
        <v>4</v>
      </c>
      <c r="K14" s="61" t="n">
        <v>4</v>
      </c>
      <c r="L14" s="62" t="n">
        <v>3</v>
      </c>
      <c r="M14" s="62" t="n">
        <v>3</v>
      </c>
      <c r="N14" s="61" t="n">
        <v>4</v>
      </c>
      <c r="O14" s="58" t="inlineStr">
        <is>
          <t>Gartner预测2026年80%大型软件组织将设平台团队，DORA实证部署频率提升3.5倍，多个行业已有生产案例。</t>
        </is>
      </c>
      <c r="P14" s="58" t="inlineStr">
        <is>
          <t>命中技术战略方向，为AI工程化落地与研发效能提升的平台底座核心路径。</t>
        </is>
      </c>
      <c r="Q14" s="58" t="inlineStr">
        <is>
          <t>标准化、自助化显著提升交付效率与开发者体验，覆盖效能与AI工程化两个以上维度。</t>
        </is>
      </c>
      <c r="R14" s="58" t="inlineStr">
        <is>
          <t>初期投入大、平台团队能力要求高、需组织文化配合，需专项投入治理。</t>
        </is>
      </c>
      <c r="S14" s="58" t="inlineStr">
        <is>
          <t>2026年73%平台团队已内置AI辅助能力，同业先行信号明确，属3—5年关键窗口。</t>
        </is>
      </c>
      <c r="T14" s="58" t="inlineStr">
        <is>
          <t>Backstage等CNCF开源IDP工具生态成熟，多厂商可选，具备自建路径。</t>
        </is>
      </c>
      <c r="U14" s="58" t="inlineStr">
        <is>
          <t>以内部开发者平台（IDP）为载体，将基础设施、流水线、环境等自助化封装为黄金路径，提升研发效能。</t>
        </is>
      </c>
      <c r="V14" s="58" t="inlineStr">
        <is>
          <t>· 从DevOps人力协作，到平台化自助
· 从零散工具，到统一IDP与黄金路径
· 平台即产品</t>
        </is>
      </c>
      <c r="W14" s="58" t="inlineStr">
        <is>
          <t>· 提升交付效率、标准化平台、改善开发者体验
· 支撑AI工程化落地
· 降低认知负荷与重复劳动</t>
        </is>
      </c>
      <c r="X14" s="58" t="inlineStr">
        <is>
          <t>· 初期投入大、平台团队能力要求高
· 需组织与文化配合
· 避免沦为又一层工具</t>
        </is>
      </c>
      <c r="Y14" s="64" t="inlineStr">
        <is>
          <t>· Gartner：2026年80%软件组织设平台团队
· Gartner《2025 Market Guide for Internal Developer Portals》
· 行业报告：2025年55%组织采纳平台工程、86%高管视为AI落地关键
采集时间：2026-07-06。
·【2026-07-14复核增补】LeanOps／platformengineering.org年度趋势（2026.01）</t>
        </is>
      </c>
      <c r="Z14" s="57" t="inlineStr">
        <is>
          <t>中—高</t>
        </is>
      </c>
      <c r="AA14" s="57" t="inlineStr">
        <is>
          <t>在库—已深化研究</t>
        </is>
      </c>
      <c r="AB14" s="58" t="n"/>
      <c r="AC14" s="57" t="inlineStr">
        <is>
          <t>2026-07-14</t>
        </is>
      </c>
      <c r="AD14" s="58" t="inlineStr">
        <is>
          <t>ZT011_v2.0入库；维持论证层；建议MVP论证，DORA四键为度量；与036 AI应用开发平台与模型运维(LLMOps,Gartner)关联，以Gartner条目为主、本条目为补充；2026-07-14专题研究滚动更新升v3.0</t>
        </is>
      </c>
      <c r="AE14" s="54" t="n"/>
    </row>
    <row r="15" ht="45.75" customHeight="1" s="23">
      <c r="A15" s="57" t="inlineStr">
        <is>
          <t>12</t>
        </is>
      </c>
      <c r="B15" s="58" t="inlineStr">
        <is>
          <t>可观测性标准化（OpenTelemetry）</t>
        </is>
      </c>
      <c r="C15" s="58" t="inlineStr">
        <is>
          <t>技术</t>
        </is>
      </c>
      <c r="D15" s="57" t="inlineStr">
        <is>
          <t>技术</t>
        </is>
      </c>
      <c r="E15" s="57" t="inlineStr">
        <is>
          <t>关键</t>
        </is>
      </c>
      <c r="F15" s="69" t="inlineStr">
        <is>
          <t>研究层</t>
        </is>
      </c>
      <c r="G15" s="69" t="inlineStr">
        <is>
          <t>深入研究</t>
        </is>
      </c>
      <c r="H15" s="58" t="inlineStr">
        <is>
          <t>技术成熟度5分（2026年5月CNCF毕业、事实标准）、生态开放度5分，但战略匹配度、价值贡献度均为3分（运维支撑路径而非核心业务旗舰），属深入研究典型，宜研究统一遥测标准在我行监控体系的落地路径与成本优化（采样、存储分层），先在关键链路试点，为后续系统论证／落地铺路。</t>
        </is>
      </c>
      <c r="I15" s="61" t="n">
        <v>5</v>
      </c>
      <c r="J15" s="62" t="n">
        <v>3</v>
      </c>
      <c r="K15" s="62" t="n">
        <v>3</v>
      </c>
      <c r="L15" s="62" t="n">
        <v>3</v>
      </c>
      <c r="M15" s="62" t="n">
        <v>3</v>
      </c>
      <c r="N15" s="61" t="n">
        <v>5</v>
      </c>
      <c r="O15" s="58" t="inlineStr">
        <is>
          <t>2026年5月CNCF毕业（最高成熟度）、12000＋贡献者，事实标准，技术已就绪，主流成熟。</t>
        </is>
      </c>
      <c r="P15" s="58" t="inlineStr">
        <is>
          <t>命中技术战略方向下运维支撑路径之一，非核心业务旗舰单列。</t>
        </is>
      </c>
      <c r="Q15" s="58" t="inlineStr">
        <is>
          <t>统一遥测、快速定位、支撑AIOps，运维价值明确但非核心业务变量，单一维度价值为主。</t>
        </is>
      </c>
      <c r="R15" s="58" t="inlineStr">
        <is>
          <t>遥测数据量大、存储分析成本高、埋点改造工作量大，需专项投入治理。</t>
        </is>
      </c>
      <c r="S15" s="58" t="inlineStr">
        <is>
          <t>事实标准地位持续巩固并向AI／大模型可观测性延伸，属3—5年关键窗口，尚无强制监管时限。</t>
        </is>
      </c>
      <c r="T15" s="58" t="inlineStr">
        <is>
          <t>CNCF毕业项目，完全开源（Apache 2.0），厂商中立，无单点依赖。</t>
        </is>
      </c>
      <c r="U15" s="58" t="inlineStr">
        <is>
          <t>一套开源、厂商中立的可观测性数据（指标／日志／链路）采集标准与工具集，统一遥测数据规范。</t>
        </is>
      </c>
      <c r="V15" s="58" t="inlineStr">
        <is>
          <t>· 从厂商锁定的分散监控，到统一、中立的可观测性标准
· 2026.5晋级CNCF毕业项目，成事实标准
· 向Profiling、eBPF扩展</t>
        </is>
      </c>
      <c r="W15" s="58" t="inlineStr">
        <is>
          <t>· 全链路可观测、快速定位、智能运维
· 避免厂商锁定
· 支撑SRE与AIOps</t>
        </is>
      </c>
      <c r="X15" s="58" t="inlineStr">
        <is>
          <t>· 遥测数据量大、存储与分析成本高
· 采集规范落地与埋点改造工作量大
· 分析能力要求高</t>
        </is>
      </c>
      <c r="Y15" s="64" t="inlineStr">
        <is>
          <t>· CNCF：OpenTelemetry晋级毕业项目（2026.05）
· InfoQ／DevOps.com：OTel达CNCF最高成熟度
· OpenTelemetry官方博客：毕业与Profiling／eBPF进展（2026）
采集时间：2026-07-06。
·【2026-07-14复核增补】wasmCloud社区进展与LLM可观测性平台综述（2026.02）</t>
        </is>
      </c>
      <c r="Z15" s="57" t="inlineStr">
        <is>
          <t>中—高</t>
        </is>
      </c>
      <c r="AA15" s="57" t="inlineStr">
        <is>
          <t>在库—已深化研究</t>
        </is>
      </c>
      <c r="AB15" s="58" t="n"/>
      <c r="AC15" s="57" t="inlineStr">
        <is>
          <t>2026-07-14</t>
        </is>
      </c>
      <c r="AD15" s="58" t="inlineStr">
        <is>
          <t>ZT012_v2.0入库；维持研究层并标记升档观察（触发：ZT003论证立项）；2026-07-14专题研究滚动更新升v3.0</t>
        </is>
      </c>
      <c r="AE15" s="54" t="n"/>
    </row>
    <row r="16">
      <c r="A16" s="57" t="inlineStr">
        <is>
          <t>13</t>
        </is>
      </c>
      <c r="B16" s="58" t="inlineStr">
        <is>
          <t>隐私增强计算／隐私计算（PETs：联邦学习·MPC·全同态加密FHE）</t>
        </is>
      </c>
      <c r="C16" s="58" t="inlineStr">
        <is>
          <t>数据要素／安全</t>
        </is>
      </c>
      <c r="D16" s="57" t="inlineStr">
        <is>
          <t>数据·安全</t>
        </is>
      </c>
      <c r="E16" s="57" t="inlineStr">
        <is>
          <t>关键（新兴向关键演进）</t>
        </is>
      </c>
      <c r="F16" s="66" t="inlineStr">
        <is>
          <t>论证层</t>
        </is>
      </c>
      <c r="G16" s="66" t="inlineStr">
        <is>
          <t>系统论证</t>
        </is>
      </c>
      <c r="H16" s="58" t="inlineStr">
        <is>
          <t>战略匹配度5分（"数据要素×"三年行动计划重点支撑技术）、价值贡献度4分、技术成熟度4分（联邦学习/MPC已有金融生产案例），宜系统论证：优选联合风控/供应链金融高价值场景先行验证，与数据织网（005）、合成数据（020）协同规划密态数据流通能力。</t>
        </is>
      </c>
      <c r="I16" s="61" t="n">
        <v>4</v>
      </c>
      <c r="J16" s="61" t="n">
        <v>5</v>
      </c>
      <c r="K16" s="61" t="n">
        <v>4</v>
      </c>
      <c r="L16" s="62" t="n">
        <v>3</v>
      </c>
      <c r="M16" s="62" t="n">
        <v>3</v>
      </c>
      <c r="N16" s="62" t="n">
        <v>3</v>
      </c>
      <c r="O16" s="58" t="inlineStr">
        <is>
          <t>联邦学习／MPC已有多个金融生产案例，标准逐步统一；FHE仍在工程化爬坡但非决定整体评级的唯一子技术。</t>
        </is>
      </c>
      <c r="P16" s="58" t="inlineStr">
        <is>
          <t>命中数据要素／安全双战略方向，国家"数据要素×"三年行动计划列为重点支撑技术。</t>
        </is>
      </c>
      <c r="Q16" s="58" t="inlineStr">
        <is>
          <t>解锁跨机构联合风控、联合营销与数据资产变现，覆盖效率、风控、新业务多个维度。</t>
        </is>
      </c>
      <c r="R16" s="58" t="inlineStr">
        <is>
          <t>算力开销大、跨机构标准与互操作性不完善，需专项投入治理。</t>
        </is>
      </c>
      <c r="S16" s="58" t="inlineStr">
        <is>
          <t>"数据要素×"三年行动计划（2024—2026）进入收官之年，属3—5年关键窗口，尚无个体强制时限。</t>
        </is>
      </c>
      <c r="T16" s="58" t="inlineStr">
        <is>
          <t>联邦学习框架部分已开源（如FATE），但跨机构互操作标准不完善，专有与开放并存。</t>
        </is>
      </c>
      <c r="U16" s="58" t="inlineStr">
        <is>
          <t>一组"数据可用不可见"技术，含联邦学习、多方安全计算、差分隐私与全同态加密，使多方在不暴露原始数据前提下联合计算与建模。</t>
        </is>
      </c>
      <c r="V16" s="58" t="inlineStr">
        <is>
          <t>· 从数据集中汇聚才能用，到数据不动价值动的联合计算
· 从事后合规审查，到密态运算内生保护</t>
        </is>
      </c>
      <c r="W16" s="58" t="inlineStr">
        <is>
          <t>· 数据要素×金融：跨机构联合风控、联合营销、供应链金融"数据不出域"合规流通
· 支撑数据资产入表与对外数据合作，降低数据泄露与合规风险</t>
        </is>
      </c>
      <c r="X16" s="58" t="inlineStr">
        <is>
          <t>· FHE等重加密方案算力开销大、性能仍受限；跨机构标准与互操作性尚不完善；结果可用性与隐私强度需权衡</t>
        </is>
      </c>
      <c r="Y16" s="64" t="inlineStr">
        <is>
          <t>安全内参《基于隐私计算的商业银行数据要素流通应用场景研究》2024；北京金融科技产业联盟《金融业数据应用发展报告2024—2025》2026-01；国家数据局等《"数据要素×"三年行动计划(2024—2026)》。
·【2026-07-14复核增补】方达《金融法律监管年度报告（2026）：金融科技篇》（2026）</t>
        </is>
      </c>
      <c r="Z16" s="57" t="inlineStr">
        <is>
          <t>高</t>
        </is>
      </c>
      <c r="AA16" s="57" t="inlineStr">
        <is>
          <t>在库—已深化研究</t>
        </is>
      </c>
      <c r="AB16" s="58" t="n"/>
      <c r="AC16" s="57" t="inlineStr">
        <is>
          <t>2026-07-14</t>
        </is>
      </c>
      <c r="AD16" s="58" t="inlineStr">
        <is>
          <t>2026-07-07：长名单扩容新增（第一批候选）；2026-07-07：ZT013专题深化v1.0入库（约5600字，7条文献）；四维复核维持论证层；建议联合风控场景论证立项，数据源锁定先于平台采购；与014/020/005组合研判</t>
        </is>
      </c>
      <c r="AE16" s="54" t="n"/>
    </row>
    <row r="17">
      <c r="A17" s="57" t="inlineStr">
        <is>
          <t>14</t>
        </is>
      </c>
      <c r="B17" s="58" t="inlineStr">
        <is>
          <t>机密计算（Confidential Computing／TEE）</t>
        </is>
      </c>
      <c r="C17" s="58" t="inlineStr">
        <is>
          <t>数据要素／安全</t>
        </is>
      </c>
      <c r="D17" s="57" t="inlineStr">
        <is>
          <t>安全·技术</t>
        </is>
      </c>
      <c r="E17" s="57" t="inlineStr">
        <is>
          <t>新兴</t>
        </is>
      </c>
      <c r="F17" s="67" t="inlineStr">
        <is>
          <t>观察层</t>
        </is>
      </c>
      <c r="G17" s="67" t="inlineStr">
        <is>
          <t>动态观察</t>
        </is>
      </c>
      <c r="H17" s="58" t="inlineStr">
        <is>
          <t>市场增长快但银行级应用信号尚不密集、战略紧迫度评级偏低，按六维复核结果转为动态观察：持续跟踪国产TEE与远程证明成熟度，并与隐私增强计算（013）协同关注密态计算路线，待紧迫度信号增强或标准化程度提升后再评估转入系统论证。</t>
        </is>
      </c>
      <c r="I17" s="62" t="n">
        <v>3</v>
      </c>
      <c r="J17" s="61" t="n">
        <v>5</v>
      </c>
      <c r="K17" s="62" t="n">
        <v>3</v>
      </c>
      <c r="L17" s="62" t="n">
        <v>3</v>
      </c>
      <c r="M17" s="60" t="n">
        <v>2</v>
      </c>
      <c r="N17" s="60" t="n">
        <v>2</v>
      </c>
      <c r="O17" s="58" t="inlineStr">
        <is>
          <t>市场规模2025→2026由约93增至152亿美元快速增长，但企业级金融应用仍少，属早期采用阶段。</t>
        </is>
      </c>
      <c r="P17" s="58" t="inlineStr">
        <is>
          <t>命中数据要素／安全双战略方向，为密态AI推理提供硬件级数据主权保护。</t>
        </is>
      </c>
      <c r="Q17" s="58" t="inlineStr">
        <is>
          <t>敏感负载上云与密态AI推理价值明确，但规模化收益尚待验证，单一维度价值为主。</t>
        </is>
      </c>
      <c r="R17" s="58" t="inlineStr">
        <is>
          <t>依赖芯片厂商信任链与远程证明，国产化TEE成熟度与供应链存在约束，需专项投入治理。</t>
        </is>
      </c>
      <c r="S17" s="58" t="inlineStr">
        <is>
          <t>市场增长快但银行级应用信号尚不密集，暂无明确外部倒逼时限，可按3—5年布局节奏推进。</t>
        </is>
      </c>
      <c r="T17" s="58" t="inlineStr">
        <is>
          <t>深度依赖Intel TDX/SGX、ARM CCA等少数芯片厂商方案，标准化程度低、接口相对私有，迁移成本高。</t>
        </is>
      </c>
      <c r="U17" s="58" t="inlineStr">
        <is>
          <t>基于硬件可信执行环境（TEE，如Intel TDX/SGX、ARM CCA）在使用中加密数据与代码，构建可远程证明的隔离计算飞地。</t>
        </is>
      </c>
      <c r="V17" s="58" t="inlineStr">
        <is>
          <t>· 从静态/传输中加密，到使用中（in-use）加密的全生命周期保护
· 从信任云平台，到硬件根信任、去信任化运算</t>
        </is>
      </c>
      <c r="W17" s="58" t="inlineStr">
        <is>
          <t>· 敏感工作负载上云、多方数据协作、私有大模型推理的数据主权保护
· 与隐私计算互补，为密态AI推理提供硬件底座</t>
        </is>
      </c>
      <c r="X17" s="58" t="inlineStr">
        <is>
          <t>· 依赖芯片厂商与远程证明信任链；性能开销与生态适配；国产化TEE成熟度与供应链约束</t>
        </is>
      </c>
      <c r="Y17" s="64" t="inlineStr">
        <is>
          <t>Cyberus《Confidential Computing in 2026》；Fortune/Mordor机密计算市场报告2025—2026；Red Hat密态AI推理2025-10。
·【2026-07-14复核增补】金融监管总局《关于银行业保险业人工智能安全开发应用的指导意见》（2026.06.18）</t>
        </is>
      </c>
      <c r="Z17" s="57" t="inlineStr">
        <is>
          <t>中—高</t>
        </is>
      </c>
      <c r="AA17" s="57" t="inlineStr">
        <is>
          <t>在库—已深化研究</t>
        </is>
      </c>
      <c r="AB17" s="58" t="n"/>
      <c r="AC17" s="57" t="inlineStr">
        <is>
          <t>2026-07-14</t>
        </is>
      </c>
      <c r="AD17" s="58" t="inlineStr">
        <is>
          <t>2026-07-07：长名单扩容新增（第一批候选）；2026-07-08：ZT014专题深化v1.0入库（6条文献）；维持研究层；结论：不单独立项，作为013论证中的TEE路线合并推进；BFSI占机密计算部署35-40%</t>
        </is>
      </c>
      <c r="AE17" s="54" t="n"/>
    </row>
    <row r="18">
      <c r="A18" s="57" t="inlineStr">
        <is>
          <t>15</t>
        </is>
      </c>
      <c r="B18" s="58" t="inlineStr">
        <is>
          <t>区块链资产代币化与可编程货币</t>
        </is>
      </c>
      <c r="C18" s="58" t="inlineStr">
        <is>
          <t>数据要素／未来（金融基础设施）</t>
        </is>
      </c>
      <c r="D18" s="57" t="inlineStr">
        <is>
          <t>业务</t>
        </is>
      </c>
      <c r="E18" s="57" t="inlineStr">
        <is>
          <t>未来</t>
        </is>
      </c>
      <c r="F18" s="67" t="inlineStr">
        <is>
          <t>观察层</t>
        </is>
      </c>
      <c r="G18" s="67" t="inlineStr">
        <is>
          <t>动态观察</t>
        </is>
      </c>
      <c r="H18" s="58" t="inlineStr">
        <is>
          <t>价值贡献度5分（跨境支付、RWA具颠覆性潜力）、战略匹配度4分虽高，但引入可行度仅1分（合规变量大、须与数字人民币及监管协调，触发否决线），按短板原则不宜直接进入论证，宜动态观察：跟踪境内外监管、数字人民币协同与同业代币化试点，保持小规模学习与生态接触，作为重大外部变量储备。</t>
        </is>
      </c>
      <c r="I18" s="60" t="n">
        <v>2</v>
      </c>
      <c r="J18" s="61" t="n">
        <v>4</v>
      </c>
      <c r="K18" s="61" t="n">
        <v>5</v>
      </c>
      <c r="L18" s="60" t="n">
        <v>1</v>
      </c>
      <c r="M18" s="62" t="n">
        <v>3</v>
      </c>
      <c r="N18" s="60" t="n">
        <v>2</v>
      </c>
      <c r="O18" s="58" t="inlineStr">
        <is>
          <t>美国GENIUS Act确立联邦框架、OCC/FDIC规则进入部署期，标准与账本选型未定，处技术触发期爬升阶段。</t>
        </is>
      </c>
      <c r="P18" s="58" t="inlineStr">
        <is>
          <t>命中数据要素／未来金融基础设施方向，为该方向被点名的前瞻布局技术路径。</t>
        </is>
      </c>
      <c r="Q18" s="58" t="inlineStr">
        <is>
          <t>跨境支付、代币化存款与RWA具战略性、颠覆性潜力，7×24原子结算可大幅降本提效。</t>
        </is>
      </c>
      <c r="R18" s="58" t="inlineStr">
        <is>
          <t>合规变量大、须与数字人民币及监管协调，AML与储备赎回机制未定型，触发引入可行度否决线。</t>
        </is>
      </c>
      <c r="S18" s="58" t="inlineStr">
        <is>
          <t>稳定币交易量已超越Visa、同业加速布局，境内RWA差异化监管路径初现，属3—5年关键窗口。</t>
        </is>
      </c>
      <c r="T18" s="58" t="inlineStr">
        <is>
          <t>账本技术标准与厂商选型未定，跨境监管分歧显著，潜在替代路径存在但迁移成本高。</t>
        </is>
      </c>
      <c r="U18" s="58" t="inlineStr">
        <is>
          <t>以分布式账本将存款、债券、基金及现实世界资产（RWA）代币化，并以合规稳定币/代币化存款承载链上支付结算。</t>
        </is>
      </c>
      <c r="V18" s="58" t="inlineStr">
        <is>
          <t>· 从账户记账与T+N清算，到链上原子结算、可编程货币
· 从封闭金融基础设施，到TradFi与链上金融融合</t>
        </is>
      </c>
      <c r="W18" s="58" t="inlineStr">
        <is>
          <t>· 跨境支付、代币化存款、债券/基金代币化与RWA新业务，7×24原子结算、降本提效
· 前瞻布局数字金融基础设施</t>
        </is>
      </c>
      <c r="X18" s="58" t="inlineStr">
        <is>
          <t>· 我行语境合规变量大，须与数字人民币/监管协调；技术标准、账本选型与反洗钱、储备与赎回机制未定型；跨境监管分歧</t>
        </is>
      </c>
      <c r="Y18" s="64" t="inlineStr">
        <is>
          <t>· 美国 GENIUS Act（2025-07-18）；OCC Bulletin 2026-3；FDIC 实施 GENIUS Act 拟议规则（2026-04-07 通过）
· Brookings《Next steps for GENIUS payment stablecoins》（2026）；Wolters Kluwer《GENIUS Act 2026》
采集时间：2026-07-07（复核更新）。
·【2026-07-14复核增补】八部门《关于进一步防范和处置虚拟货币交易炒作风险的通知》（2026.02.06）；香港金管局首批稳定币发牌（2026.04.10）</t>
        </is>
      </c>
      <c r="Z18" s="57" t="inlineStr">
        <is>
          <t>中—高</t>
        </is>
      </c>
      <c r="AA18" s="57" t="inlineStr">
        <is>
          <t>在库—已深化研究</t>
        </is>
      </c>
      <c r="AB18" s="58" t="n"/>
      <c r="AC18" s="57" t="inlineStr">
        <is>
          <t>2026-07-14</t>
        </is>
      </c>
      <c r="AD18" s="58" t="inlineStr">
        <is>
          <t>2026-07-07：长名单扩容新增（第一批候选） | 2026-07-07按新名称复核刷新，去除别名“（原：资产代币化与稳定币）”；2026-07-08：ZT015专题深化v1.0入库（约6200字，10条文献，观察层），核实境内八部门联合声明进一步明确禁止未经批准稳定币/RWA代币化，香港HSBC/渣打财团已获首批稳定币牌照；维持观察层/动态观察，风险维持续为高（单列否决）。</t>
        </is>
      </c>
      <c r="AE18" s="58" t="inlineStr">
        <is>
          <t>Gartner分析师20260612推荐</t>
        </is>
      </c>
    </row>
    <row r="19">
      <c r="A19" s="57" t="inlineStr">
        <is>
          <t>16</t>
        </is>
      </c>
      <c r="B19" s="58" t="inlineStr">
        <is>
          <t>向量数据库与检索增强生成（Vector DB·RAG／GraphRAG）</t>
        </is>
      </c>
      <c r="C19" s="58" t="inlineStr">
        <is>
          <t>人工智能／数据要素</t>
        </is>
      </c>
      <c r="D19" s="57" t="inlineStr">
        <is>
          <t>数据·应用</t>
        </is>
      </c>
      <c r="E19" s="57" t="inlineStr">
        <is>
          <t>关键</t>
        </is>
      </c>
      <c r="F19" s="66" t="inlineStr">
        <is>
          <t>论证层</t>
        </is>
      </c>
      <c r="G19" s="66" t="inlineStr">
        <is>
          <t>系统论证</t>
        </is>
      </c>
      <c r="H19" s="58" t="inlineStr">
        <is>
          <t>六维评分全线均衡（成熟度4／战略匹配度5／价值贡献度4／引入可行度4／战略紧迫度4／生态开放度4），为001智能体、002 AI原生落地的必备组件，宜系统论证：围绕客服/合规/投研场景验证混合检索与GraphRAG、建立知识权限与评估体系，与001/002及005数据织网协同。</t>
        </is>
      </c>
      <c r="I19" s="61" t="n">
        <v>4</v>
      </c>
      <c r="J19" s="61" t="n">
        <v>5</v>
      </c>
      <c r="K19" s="61" t="n">
        <v>4</v>
      </c>
      <c r="L19" s="61" t="n">
        <v>4</v>
      </c>
      <c r="M19" s="61" t="n">
        <v>4</v>
      </c>
      <c r="N19" s="61" t="n">
        <v>4</v>
      </c>
      <c r="O19" s="58" t="inlineStr">
        <is>
          <t>2026年RAG被视为企业AI战略刚需，混合检索成默认范式，多个行业已有生产案例。</t>
        </is>
      </c>
      <c r="P19" s="58" t="inlineStr">
        <is>
          <t>命中人工智能／数据要素双战略方向，为001智能体、002 AI原生落地的必备组件。</t>
        </is>
      </c>
      <c r="Q19" s="58" t="inlineStr">
        <is>
          <t>显著降幻觉、可引用溯源，覆盖智能客服、合规问答、投研等效率、体验、合规多个维度。</t>
        </is>
      </c>
      <c r="R19" s="58" t="inlineStr">
        <is>
          <t>知识治理与权限隔离为主要风险，各子要素总体可控，可按常规评审推进。</t>
        </is>
      </c>
      <c r="S19" s="58" t="inlineStr">
        <is>
          <t>Gartner预计2026年七成以上企业生成式AI项目需结构化检索管线以控制幻觉与合规风险，0—2年内需启动。</t>
        </is>
      </c>
      <c r="T19" s="58" t="inlineStr">
        <is>
          <t>Milvus、pgvector等多厂商方案多为开源，具备国产化替代路径。</t>
        </is>
      </c>
      <c r="U19" s="58" t="inlineStr">
        <is>
          <t>以向量数据库存储语义嵌入，结合知识图谱做混合检索，为大模型提供可溯源的外部知识，降低幻觉。</t>
        </is>
      </c>
      <c r="V19" s="58" t="inlineStr">
        <is>
          <t>· 从纯参数记忆的黑箱问答，到检索增强、事实可溯源
· 从纯向量相似检索，到向量+图谱混合、GraphRAG多跳推理</t>
        </is>
      </c>
      <c r="W19" s="58" t="inlineStr">
        <is>
          <t>· 智能客服、合规问答、投研与知识管理的事实底座，显著降幻觉、可引用
· 001智能体/002 AI原生落地的必备组件</t>
        </is>
      </c>
      <c r="X19" s="58" t="inlineStr">
        <is>
          <t>· 知识治理与权限隔离、检索质量与更新时效、GraphRAG构建成本；企业级安全访问控制要求高</t>
        </is>
      </c>
      <c r="Y19" s="64" t="inlineStr">
        <is>
          <t>Techment《RAG in 2026》；Neo4j《What is GraphRAG》；VentureBeat 2026数据预测；Onyx企业RAG平台指南2026。
·【2026-07-14复核增补】Gartner《Top Trends in D&amp;A 2026：GraphRAG》（2026）</t>
        </is>
      </c>
      <c r="Z19" s="57" t="inlineStr">
        <is>
          <t>高</t>
        </is>
      </c>
      <c r="AA19" s="57" t="inlineStr">
        <is>
          <t>在库—已深化研究</t>
        </is>
      </c>
      <c r="AB19" s="58" t="n"/>
      <c r="AC19" s="57" t="inlineStr">
        <is>
          <t>2026-07-14</t>
        </is>
      </c>
      <c r="AD19" s="58" t="inlineStr">
        <is>
          <t>2026-07-07：长名单扩容新增（第一批候选）；2026-07-07：ZT016专题深化v1.0入库（约5600字，10条文献）；四维复核维持论证层；建议并入AI原生架构第一阶段工程论证，选型分级（数据库扩展vs专用库）</t>
        </is>
      </c>
      <c r="AE19" s="54" t="n"/>
    </row>
    <row r="20">
      <c r="A20" s="57" t="inlineStr">
        <is>
          <t>17</t>
        </is>
      </c>
      <c r="B20" s="58" t="inlineStr">
        <is>
          <t>AI智能体互操作协议（MCP·A2A·ACP）</t>
        </is>
      </c>
      <c r="C20" s="58" t="inlineStr">
        <is>
          <t>人工智能</t>
        </is>
      </c>
      <c r="D20" s="57" t="inlineStr">
        <is>
          <t>应用·技术</t>
        </is>
      </c>
      <c r="E20" s="57" t="inlineStr">
        <is>
          <t>新兴</t>
        </is>
      </c>
      <c r="F20" s="69" t="inlineStr">
        <is>
          <t>研究层</t>
        </is>
      </c>
      <c r="G20" s="69" t="inlineStr">
        <is>
          <t>深入研究</t>
        </is>
      </c>
      <c r="H20" s="58" t="inlineStr">
        <is>
          <t>技术成熟度3分（标准仍在快速演进收敛）、生态开放度5分（MCP/A2A均已开源治理），与001智能体互补，宜深入研究：跟踪MCP/A2A收敛与安全规范，在智能体试点中评估协议选型与治理接口，条件成熟再随001转论证。</t>
        </is>
      </c>
      <c r="I20" s="62" t="n">
        <v>3</v>
      </c>
      <c r="J20" s="61" t="n">
        <v>4</v>
      </c>
      <c r="K20" s="62" t="n">
        <v>3</v>
      </c>
      <c r="L20" s="62" t="n">
        <v>3</v>
      </c>
      <c r="M20" s="62" t="n">
        <v>3</v>
      </c>
      <c r="N20" s="61" t="n">
        <v>5</v>
      </c>
      <c r="O20" s="58" t="inlineStr">
        <is>
          <t>MCP由Linux基金会Agentic AI Foundation治理、社区服务器超1.8万，标准仍在快速演进收敛，属早期采用阶段。</t>
        </is>
      </c>
      <c r="P20" s="58" t="inlineStr">
        <is>
          <t>命中人工智能战略方向，与001智能体强绑定，为其标准化工具接入与协作底座。</t>
        </is>
      </c>
      <c r="Q20" s="58" t="inlineStr">
        <is>
          <t>降低集成与锁定成本、统一治理接口，价值随智能体规模化放大，单一维度价值为主。</t>
        </is>
      </c>
      <c r="R20" s="58" t="inlineStr">
        <is>
          <t>标准未完全定型、安全与供应链信任模型待成熟，需专项投入治理。</t>
        </is>
      </c>
      <c r="S20" s="58" t="inlineStr">
        <is>
          <t>2026年超100家企业采用MCP/A2A双协议，属3—5年关键窗口，尚无强制监管时限。</t>
        </is>
      </c>
      <c r="T20" s="58" t="inlineStr">
        <is>
          <t>MCP已转入Linux基金会开放治理、A2A同样开源，月下载9700万次，无单点依赖。</t>
        </is>
      </c>
      <c r="U20" s="58" t="inlineStr">
        <is>
          <t>智能体与工具、智能体与智能体间的标准通信协议：MCP（agent-tool）、A2A（agent-agent）、ACP等，构建可互操作的智能体生态。</t>
        </is>
      </c>
      <c r="V20" s="58" t="inlineStr">
        <is>
          <t>· 从各家私有插件与孤岛集成，到跨厂商标准化互操作
· 从单体智能体，到多智能体协作编排</t>
        </is>
      </c>
      <c r="W20" s="58" t="inlineStr">
        <is>
          <t>· 为001智能体落地提供标准化工具接入与多体协作底座，降低集成与锁定成本
· 统一行内智能体治理与审计接口</t>
        </is>
      </c>
      <c r="X20" s="58" t="inlineStr">
        <is>
          <t>· 标准仍在快速演进与收敛（MCP/A2A融合工作进行中）；安全与权限模型、供应链信任待成熟</t>
        </is>
      </c>
      <c r="Y20" s="64" t="inlineStr">
        <is>
          <t>Zylos Research《Agent Interoperability Protocols 2026》；arXiv 2505.02279 协议综述；Turion.ai《AI Agent Protocol Stack 2026》。
·【2026-07-14复核增补】Linux基金会MCP项目统计与A2A采用情况（2026年初）</t>
        </is>
      </c>
      <c r="Z20" s="57" t="inlineStr">
        <is>
          <t>中—高</t>
        </is>
      </c>
      <c r="AA20" s="57" t="inlineStr">
        <is>
          <t>在库—已深化研究</t>
        </is>
      </c>
      <c r="AB20" s="58" t="n"/>
      <c r="AC20" s="57" t="inlineStr">
        <is>
          <t>2026-07-14</t>
        </is>
      </c>
      <c r="AD20" s="58" t="inlineStr">
        <is>
          <t>2026-07-07：长名单扩容新增（第一批候选）；与034多智能体系统(MAS,Gartner)关联，以Gartner条目为主、本条目为补充；2026-07-08：ZT017专题深化v1.0入库（8条文献）；维持研究层；MCP已Linux基金会治理成事实标准；结论：MCP网关治理随001试点即行落地，A2A按034节奏跟踪</t>
        </is>
      </c>
      <c r="AE20" s="54" t="n"/>
    </row>
    <row r="21">
      <c r="A21" s="57" t="inlineStr">
        <is>
          <t>18</t>
        </is>
      </c>
      <c r="B21" s="58" t="inlineStr">
        <is>
          <t>人工智能安全平台（AISP）及AI在网络风险管理中的应用</t>
        </is>
      </c>
      <c r="C21" s="58" t="inlineStr">
        <is>
          <t>人工智能／安全</t>
        </is>
      </c>
      <c r="D21" s="57" t="inlineStr">
        <is>
          <t>安全</t>
        </is>
      </c>
      <c r="E21" s="57" t="inlineStr">
        <is>
          <t>关键</t>
        </is>
      </c>
      <c r="F21" s="66" t="inlineStr">
        <is>
          <t>论证层</t>
        </is>
      </c>
      <c r="G21" s="66" t="inlineStr">
        <is>
          <t>系统论证</t>
        </is>
      </c>
      <c r="H21" s="58" t="inlineStr">
        <is>
          <t>战略匹配度5分（人工智能／安全双战略方向核心刚需）、价值贡献度4分、战略紧迫度4分（金融监管总局指导意见已明确合规要求），治理先行属性强，宜系统论证：参照Gartner/NIST/OWASP与人行监管，建立提示注入防护、输出护栏、模型评估与运行时监控，作为001/002/017的统一护栏先行落地。同业已有可验证路径（新加坡银行公会ABS护栏手册、DBS治理框架量化成效），论证重点为治理层先行的能力缺口评估与内置/采购边界，建议与001智能体治理合并立项，6—9个月完成能力蓝图。</t>
        </is>
      </c>
      <c r="I21" s="61" t="n">
        <v>4</v>
      </c>
      <c r="J21" s="61" t="n">
        <v>5</v>
      </c>
      <c r="K21" s="61" t="n">
        <v>4</v>
      </c>
      <c r="L21" s="62" t="n">
        <v>3</v>
      </c>
      <c r="M21" s="61" t="n">
        <v>4</v>
      </c>
      <c r="N21" s="62" t="n">
        <v>3</v>
      </c>
      <c r="O21" s="58" t="inlineStr">
        <is>
          <t>TRiSM框架清晰、护栏工具成形，Gartner已发布市场指南，2024—2025年五起标志性并购显示品类快速走向成熟整合。</t>
        </is>
      </c>
      <c r="P21" s="58" t="inlineStr">
        <is>
          <t>命中人工智能／安全双战略方向，为001/002/017规模化落地的前置刚需。</t>
        </is>
      </c>
      <c r="Q21" s="58" t="inlineStr">
        <is>
          <t>影子AI治理价值可量化，DBS案例显示统一护栏可将AI上线周期压缩超80%，覆盖安全与效率多个维度。</t>
        </is>
      </c>
      <c r="R21" s="58" t="inlineStr">
        <is>
          <t>厂商整合期选型需组件化，多智能体治理工具尚不成熟，需专项投入治理。</t>
        </is>
      </c>
      <c r="S21" s="58" t="inlineStr">
        <is>
          <t>金融监管总局2026年6月18日已发布AI安全开发应用指导意见，AI安全平台由前瞻布局转为合规刚需，0—2年内需启动。</t>
        </is>
      </c>
      <c r="T21" s="58" t="inlineStr">
        <is>
          <t>市场处并购整合期、厂商格局未定，主流开放标准与专有方案并存。</t>
        </is>
      </c>
      <c r="U21" s="58" t="inlineStr">
        <is>
          <t>覆盖AI可信、风险与安全管理的框架与能力：提示注入防护、数据与输出护栏、模型评估、运行时异常检测与AI治理平台。</t>
        </is>
      </c>
      <c r="V21" s="58" t="inlineStr">
        <is>
          <t>· 从模型能力优先，到治理护栏与安全内生并重
· 从人工抽检，到运行时持续监控与强制执行</t>
        </is>
      </c>
      <c r="W21" s="58" t="inlineStr">
        <is>
          <t>· 001/002/017落地的前置护栏，防提示注入、数据泄露、幻觉与越权
· 满足监管对AI可解释、可审计、可控的要求</t>
        </is>
      </c>
      <c r="X21" s="58" t="inlineStr">
        <is>
          <t>· 多智能体与自治场景治理工具尚不成熟；标准与评测基准演进中；内部策略违规为主要风险源</t>
        </is>
      </c>
      <c r="Y21" s="64" t="inlineStr">
        <is>
          <t>· Gartner《Govern AI Using TRiSM》（2026）及 AI 安全平台市场研究；IBM《What Is AI TRiSM》；Arthur《Best AI Governance Platforms 2026》
· OWASP《Top 10 for Agentic Applications 2026》；NIST AI RMF
采集时间：2026-07-07（复核更新）。
·【2026-07-14复核增补】金融监管总局《关于银行业保险业人工智能安全开发应用的指导意见》（2026.06.18）
·【2026-08-17深化增补】HiddenLayer/Palo Alto Networks/Cisco/Check Point/F5/SentinelOne官方并购公告；Fortune Business Insights《AI TRiSM Market Size 2026-2034》；Airia《Shadow AI Statistics 2026》；OWASP genai.owasp.org《Top 10 for Agentic Applications 2026》；全国网络安全标准化技术委员会TC260-003《生成式人工智能服务安全基本要求》；新加坡银行公会(ABS)/MAS《Handbook on Generative AI Guardrails in Banking》(2025-05)；DBS Bank《Responsible AI in Banking》；中国银行业大模型应用跟踪报告(2026)。采集时间：2026-08-17。</t>
        </is>
      </c>
      <c r="Z21" s="57" t="inlineStr">
        <is>
          <t>高</t>
        </is>
      </c>
      <c r="AA21" s="57" t="inlineStr">
        <is>
          <t>在库—已深化研究</t>
        </is>
      </c>
      <c r="AB21" s="58" t="n"/>
      <c r="AC21" s="57" t="inlineStr">
        <is>
          <t>2026-08-17</t>
        </is>
      </c>
      <c r="AD21" s="58" t="inlineStr">
        <is>
          <t>2026-07-07：长名单扩容新增（第一批候选） | 2026-07-07按新名称复核刷新，去除别名“（原：AI信任风险与安全管理AI TRiSM）”；2026-07-08：ZT018专题深化v1.0入库（约5200字，7条文献）；四维复核维持论证层；Gartner已将提示注入列入四大威胁；建议AI资产台账+试点护栏先行，与001智能体治理合并立项；2026-08-17：ZT018专题深化v2.0入库（约1.1万字，21条文献，新增执行摘要/生态位图谱/厂商并购格局/技术选型比选/监管映射表/同业实名案例(新加坡ABS护栏手册、DBS)/风险register/效益测算区间等章节），PB018同步升v1.3；四维评级维持（成熟度中/契合度高/价值高/风险中），论证层定档不变，论证重点为治理层先行的能力缺口评估，建议与001智能体治理合并立项</t>
        </is>
      </c>
      <c r="AE21" s="58" t="inlineStr">
        <is>
          <t>Gartner分析师20260612推荐</t>
        </is>
      </c>
    </row>
    <row r="22">
      <c r="A22" s="57" t="inlineStr">
        <is>
          <t>19</t>
        </is>
      </c>
      <c r="B22" s="58" t="inlineStr">
        <is>
          <t>小语言模型与端侧AI（SLM·On-device／Edge AI）</t>
        </is>
      </c>
      <c r="C22" s="58" t="inlineStr">
        <is>
          <t>人工智能</t>
        </is>
      </c>
      <c r="D22" s="57" t="inlineStr">
        <is>
          <t>应用·技术</t>
        </is>
      </c>
      <c r="E22" s="57" t="inlineStr">
        <is>
          <t>新兴</t>
        </is>
      </c>
      <c r="F22" s="69" t="inlineStr">
        <is>
          <t>研究层</t>
        </is>
      </c>
      <c r="G22" s="69" t="inlineStr">
        <is>
          <t>深入研究</t>
        </is>
      </c>
      <c r="H22" s="58" t="inlineStr">
        <is>
          <t>技术成熟度4分（2026年出现小模型领域任务超越大模型案例）、战略匹配度4分，价值贡献度3分（单一维度价值为主），与WebAssembly（004）边缘计算联动，宜深入研究：在客服质检/网点/移动端高频窄场景评估SLM微调蒸馏与端侧部署的成本—效果，形成大小模型协同的推理策略。</t>
        </is>
      </c>
      <c r="I22" s="61" t="n">
        <v>4</v>
      </c>
      <c r="J22" s="61" t="n">
        <v>4</v>
      </c>
      <c r="K22" s="62" t="n">
        <v>3</v>
      </c>
      <c r="L22" s="61" t="n">
        <v>4</v>
      </c>
      <c r="M22" s="62" t="n">
        <v>3</v>
      </c>
      <c r="N22" s="61" t="n">
        <v>4</v>
      </c>
      <c r="O22" s="58" t="inlineStr">
        <is>
          <t>端侧模型与量化技术趋于成熟，2026年出现2.6B小模型领域任务超越大模型案例，多个行业已有生产案例。</t>
        </is>
      </c>
      <c r="P22" s="58" t="inlineStr">
        <is>
          <t>命中人工智能战略方向，契合成本与数据不出域诉求，为该方向下重要路径。</t>
        </is>
      </c>
      <c r="Q22" s="58" t="inlineStr">
        <is>
          <t>高频重复任务降本（较大模型省成本数倍至数十倍）与隐私价值明确，单一维度价值为主。</t>
        </is>
      </c>
      <c r="R22" s="58" t="inlineStr">
        <is>
          <t>能力边界有限、需微调蒸馏工程投入，但各子要素总体可控，可按常规评审推进。</t>
        </is>
      </c>
      <c r="S22" s="58" t="inlineStr">
        <is>
          <t>Gartner预测2027年任务专用小模型使用量为通用大模型三倍，属3—5年关键窗口。</t>
        </is>
      </c>
      <c r="T22" s="58" t="inlineStr">
        <is>
          <t>Llama、Qwen等多款开源小模型可选，具备国产化替代路径。</t>
        </is>
      </c>
      <c r="U22" s="58" t="inlineStr">
        <is>
          <t>参数量较小、面向特定任务、可在端侧/本地部署的语言模型，兼顾成本、时延与数据不出域。</t>
        </is>
      </c>
      <c r="V22" s="58" t="inlineStr">
        <is>
          <t>· 从"越大越好"的通用大模型，到小而专、任务定制
· 从云端集中推理，到端侧/本地私有推理</t>
        </is>
      </c>
      <c r="W22" s="58" t="inlineStr">
        <is>
          <t>· 高频重复任务降本（较大模型省成本数倍至数十倍）、低时延、敏感数据本地处理
· 与004 WebAssembly边缘计算联动</t>
        </is>
      </c>
      <c r="X22" s="58" t="inlineStr">
        <is>
          <t>· 通用推理与长上下文能力弱于大模型；需微调与蒸馏工程；端侧算力与模型管理运维</t>
        </is>
      </c>
      <c r="Y22" s="64" t="inlineStr">
        <is>
          <t>Zylos《Small Language Models &amp; Edge AI 2026》；InfoWorld/ Dell Edge AI 2026；Iterathon SLM成本指南2026。
·【2026-07-14复核增补】Gartner预测与Emerging Tech报告（2025.04／2026）</t>
        </is>
      </c>
      <c r="Z22" s="57" t="inlineStr">
        <is>
          <t>中—高</t>
        </is>
      </c>
      <c r="AA22" s="57" t="inlineStr">
        <is>
          <t>在库—已深化研究</t>
        </is>
      </c>
      <c r="AB22" s="58" t="n"/>
      <c r="AC22" s="57" t="inlineStr">
        <is>
          <t>2026-07-14</t>
        </is>
      </c>
      <c r="AD22" s="58" t="inlineStr">
        <is>
          <t>2026-07-07：长名单扩容新增（第一批候选）；2026-07-08：ZT019专题深化v1.0入库（10条文献）；维持研究层；Gartner预测2027年SLM使用量3倍于LLM；结论：SLM路由随002架构工程落地，端侧形态信号驱动</t>
        </is>
      </c>
      <c r="AE22" s="54" t="n"/>
    </row>
    <row r="23">
      <c r="A23" s="57" t="inlineStr">
        <is>
          <t>20</t>
        </is>
      </c>
      <c r="B23" s="58" t="inlineStr">
        <is>
          <t>合成数据（Synthetic Data）</t>
        </is>
      </c>
      <c r="C23" s="58" t="inlineStr">
        <is>
          <t>数据要素／人工智能</t>
        </is>
      </c>
      <c r="D23" s="57" t="inlineStr">
        <is>
          <t>数据</t>
        </is>
      </c>
      <c r="E23" s="57" t="inlineStr">
        <is>
          <t>新兴</t>
        </is>
      </c>
      <c r="F23" s="69" t="inlineStr">
        <is>
          <t>研究层</t>
        </is>
      </c>
      <c r="G23" s="69" t="inlineStr">
        <is>
          <t>深入研究</t>
        </is>
      </c>
      <c r="H23" s="58" t="inlineStr">
        <is>
          <t>战略匹配度5分（数据要素／人工智能双战略方向，缓解数据获取瓶颈），技术成熟度3分处早期采用阶段，与隐私增强计算（013）互补，宜深入研究：在反欺诈样本增强与测试数据场景评估"合成+差分隐私"的质量、隐私与合规边界，与013统筹密态与合成数据能力。</t>
        </is>
      </c>
      <c r="I23" s="62" t="n">
        <v>3</v>
      </c>
      <c r="J23" s="61" t="n">
        <v>5</v>
      </c>
      <c r="K23" s="62" t="n">
        <v>3</v>
      </c>
      <c r="L23" s="62" t="n">
        <v>3</v>
      </c>
      <c r="M23" s="62" t="n">
        <v>3</v>
      </c>
      <c r="N23" s="61" t="n">
        <v>4</v>
      </c>
      <c r="O23" s="58" t="inlineStr">
        <is>
          <t>Gartner估2026年四分之三企业将用生成式AI产合成客户数据，"合成+差分隐私"渐成黄金标准，属早期采用阶段。</t>
        </is>
      </c>
      <c r="P23" s="58" t="inlineStr">
        <is>
          <t>命中数据要素／人工智能双战略方向，缓解数据获取瓶颈与隐私合规诉求。</t>
        </is>
      </c>
      <c r="Q23" s="58" t="inlineStr">
        <is>
          <t>反欺诈样本增强、类别均衡与隐私安全测试价值明确，单一维度价值为主。</t>
        </is>
      </c>
      <c r="R23" s="58" t="inlineStr">
        <is>
          <t>合成数据非天然隐私（模型可能记忆泄露）、质量偏差与监管认可度待明确，需专项投入治理。</t>
        </is>
      </c>
      <c r="S23" s="58" t="inlineStr">
        <is>
          <t>金融业已用于反欺诈样本与测试，属3—5年关键窗口，尚无强制监管时限。</t>
        </is>
      </c>
      <c r="T23" s="58" t="inlineStr">
        <is>
          <t>SDV等合成数据工具多为开源，多厂商可选。</t>
        </is>
      </c>
      <c r="U23" s="58" t="inlineStr">
        <is>
          <t>用生成模型产出统计特征相近但不含真实个体的仿真数据，用于模型训练、测试与数据共享。</t>
        </is>
      </c>
      <c r="V23" s="58" t="inlineStr">
        <is>
          <t>· 从依赖真实敏感数据，到合成数据+差分隐私训练
· 从数据孤岛，到共享"犯罪模式"而非客户明细</t>
        </is>
      </c>
      <c r="W23" s="58" t="inlineStr">
        <is>
          <t>· 反欺诈/风控样本增强与类别均衡、隐私安全的测试与共享、缓解数据获取瓶颈
· 与013隐私计算互补</t>
        </is>
      </c>
      <c r="X23" s="58" t="inlineStr">
        <is>
          <t>· 合成数据非天然隐私（模型可能记忆泄露）、质量与偏差控制、监管认可度待明确</t>
        </is>
      </c>
      <c r="Y23" s="64" t="inlineStr">
        <is>
          <t>NayaOne《Synthetic Data's Moment》；geekfence 2026合成数据产品；arXiv 2602.09288 金融合成数据隐私风险。
·【2026-07-14复核增补】2026年中国AI发展趋势前瞻（2026.01）</t>
        </is>
      </c>
      <c r="Z23" s="57" t="inlineStr">
        <is>
          <t>中—高</t>
        </is>
      </c>
      <c r="AA23" s="57" t="inlineStr">
        <is>
          <t>在库—已深化研究</t>
        </is>
      </c>
      <c r="AB23" s="58" t="n"/>
      <c r="AC23" s="57" t="inlineStr">
        <is>
          <t>2026-07-14</t>
        </is>
      </c>
      <c r="AD23" s="58" t="inlineStr">
        <is>
          <t>2026-07-07：长名单扩容新增（第一批候选）；2026-07-08：ZT020专题深化v1.0入库（9条文献）；维持研究层；Gartner预测2026年75% AI用数为合成；结论：测试数据合成替代可快速试点即行启动</t>
        </is>
      </c>
      <c r="AE23" s="58" t="inlineStr">
        <is>
          <t>Gartner分析师20260612推荐</t>
        </is>
      </c>
    </row>
    <row r="24">
      <c r="A24" s="57" t="inlineStr">
        <is>
          <t>21</t>
        </is>
      </c>
      <c r="B24" s="58" t="inlineStr">
        <is>
          <t>因果AI（Causal AI）</t>
        </is>
      </c>
      <c r="C24" s="58" t="inlineStr">
        <is>
          <t>人工智能</t>
        </is>
      </c>
      <c r="D24" s="57" t="inlineStr">
        <is>
          <t>应用</t>
        </is>
      </c>
      <c r="E24" s="57" t="inlineStr">
        <is>
          <t>未来</t>
        </is>
      </c>
      <c r="F24" s="69" t="inlineStr">
        <is>
          <t>研究层</t>
        </is>
      </c>
      <c r="G24" s="69" t="inlineStr">
        <is>
          <t>深入研究</t>
        </is>
      </c>
      <c r="H24" s="58" t="inlineStr">
        <is>
          <t>战略匹配度4分（契合风控可解释性与监管"理由码"诉求），技术成熟度3分、价值贡献度3分兑现依赖工程成熟度，宜深入研究（可自观察层起步）：在信贷风控/反欺诈选点试验因果发现与反事实分析，评估与现有模型融合及监管可解释性收益；与神经符号AI（027）互补跟踪。</t>
        </is>
      </c>
      <c r="I24" s="62" t="n">
        <v>3</v>
      </c>
      <c r="J24" s="61" t="n">
        <v>4</v>
      </c>
      <c r="K24" s="62" t="n">
        <v>3</v>
      </c>
      <c r="L24" s="62" t="n">
        <v>3</v>
      </c>
      <c r="M24" s="62" t="n">
        <v>3</v>
      </c>
      <c r="N24" s="61" t="n">
        <v>4</v>
      </c>
      <c r="O24" s="58" t="inlineStr">
        <is>
          <t>因果模型在欺诈检测已被证明优于XGBoost等相关性方法，但工程化与工具生态尚不成熟，属早期采用阶段。</t>
        </is>
      </c>
      <c r="P24" s="58" t="inlineStr">
        <is>
          <t>命中人工智能战略方向，契合风控可解释性与监管"理由码"诉求。</t>
        </is>
      </c>
      <c r="Q24" s="58" t="inlineStr">
        <is>
          <t>稳健决策与可解释性价值明确，兑现依赖工程成熟度，单一维度价值为主。</t>
        </is>
      </c>
      <c r="R24" s="58" t="inlineStr">
        <is>
          <t>假设与数据质量要求高、人才稀缺，需专项投入治理。</t>
        </is>
      </c>
      <c r="S24" s="58" t="inlineStr">
        <is>
          <t>监管对可解释AI要求持续提升，"治理化规模决策"成为2026年银行运营关键词，属3—5年关键窗口。</t>
        </is>
      </c>
      <c r="T24" s="58" t="inlineStr">
        <is>
          <t>DoWhy、EconML等主流因果推断工具多为开源，学术界主导，非单点依赖。</t>
        </is>
      </c>
      <c r="U24" s="58" t="inlineStr">
        <is>
          <t>融合因果推断与机器学习，估计变量间因果效应而非仅相关性，提供可解释、稳健的决策依据。</t>
        </is>
      </c>
      <c r="V24" s="58" t="inlineStr">
        <is>
          <t>· 从相关性预测黑箱，到因果机制可解释
· 从数据驱动关联，到干预与反事实推理</t>
        </is>
      </c>
      <c r="W24" s="58" t="inlineStr">
        <is>
          <t>· 信贷风控、反欺诈、定价与营销的可解释建模与稳健决策，满足监管"理由码"要求
· 缓解模型漂移与偏差</t>
        </is>
      </c>
      <c r="X24" s="58" t="inlineStr">
        <is>
          <t>· 因果发现工程成熟度偏低、需领域知识与假设、数据质量要求高；工具与人才稀缺</t>
        </is>
      </c>
      <c r="Y24" s="64" t="inlineStr">
        <is>
          <t>FIRM e.V.《Causal AI in risk management and finance》；EJBEMA 2025 因果欺诈检测；Springer《financial explainable AI》综述。
·【2026-07-14复核增补】行业趋势综述与决策智能相关报告（2026）</t>
        </is>
      </c>
      <c r="Z24" s="57" t="inlineStr">
        <is>
          <t>中—高</t>
        </is>
      </c>
      <c r="AA24" s="57" t="inlineStr">
        <is>
          <t>在库—已深化研究</t>
        </is>
      </c>
      <c r="AB24" s="58" t="n"/>
      <c r="AC24" s="57" t="inlineStr">
        <is>
          <t>2026-07-14</t>
        </is>
      </c>
      <c r="AD24" s="58" t="inlineStr">
        <is>
          <t>2026-07-07：长名单扩容新增（第一批候选）；与033决策智能平台(DIP,Gartner)关联，以Gartner条目为主、本条目为补充；2026-07-08：ZT021专题深化v1.0入库（约6100字，10条文献，已存档1条全文），维持研究层/深入研究，四维评级维持成熟度低—中/契合度中—高/价值中—高/风险门槛中。</t>
        </is>
      </c>
      <c r="AE24" s="54" t="n"/>
    </row>
    <row r="25">
      <c r="A25" s="57" t="inlineStr">
        <is>
          <t>22</t>
        </is>
      </c>
      <c r="B25" s="58" t="inlineStr">
        <is>
          <t>软件供应链安全（SBOM·供应链治理）</t>
        </is>
      </c>
      <c r="C25" s="58" t="inlineStr">
        <is>
          <t>安全</t>
        </is>
      </c>
      <c r="D25" s="57" t="inlineStr">
        <is>
          <t>安全</t>
        </is>
      </c>
      <c r="E25" s="57" t="inlineStr">
        <is>
          <t>关键</t>
        </is>
      </c>
      <c r="F25" s="66" t="inlineStr">
        <is>
          <t>论证层</t>
        </is>
      </c>
      <c r="G25" s="66" t="inlineStr">
        <is>
          <t>系统论证</t>
        </is>
      </c>
      <c r="H25" s="58" t="inlineStr">
        <is>
          <t>战略紧迫度5分（欧盟CRA已进入实施关键期，9月起须报告漏洞事件）、生态开放度5分（SPDX/CycloneDX开放事实格式），技术成熟度4分、战略匹配度4分、价值贡献度4分均衡达标，宜系统论证：建立SBOM生成与消费、来源证明与SSDF实践，纳入采购与CI/CD，与零信任架构（008）、可观测性标准化（012）统筹，明确落地范围与SLA。</t>
        </is>
      </c>
      <c r="I25" s="61" t="n">
        <v>4</v>
      </c>
      <c r="J25" s="61" t="n">
        <v>4</v>
      </c>
      <c r="K25" s="61" t="n">
        <v>4</v>
      </c>
      <c r="L25" s="61" t="n">
        <v>4</v>
      </c>
      <c r="M25" s="61" t="n">
        <v>5</v>
      </c>
      <c r="N25" s="61" t="n">
        <v>5</v>
      </c>
      <c r="O25" s="58" t="inlineStr">
        <is>
          <t>SBOM流程多数机构已启动，欧盟CRA进入实施关键期，多个行业已有生产案例。</t>
        </is>
      </c>
      <c r="P25" s="58" t="inlineStr">
        <is>
          <t>命中安全战略方向，DORA等监管驱动核心路径，与零信任协同。</t>
        </is>
      </c>
      <c r="Q25" s="58" t="inlineStr">
        <is>
          <t>降低开源组件与投毒风险、满足DORA监管要求，覆盖安全与合规两个以上维度。</t>
        </is>
      </c>
      <c r="R25" s="58" t="inlineStr">
        <is>
          <t>SBOM覆盖与自动化程度不一，需工具链整合投入，但各子要素总体可控，可按常规评审推进。</t>
        </is>
      </c>
      <c r="S25" s="58" t="inlineStr">
        <is>
          <t>欧盟CRA要求2026年6月11日合格评定生效、9月11日起须报告漏洞与事件，SBOM成为强制要求，延迟将产生合规风险。</t>
        </is>
      </c>
      <c r="T25" s="58" t="inlineStr">
        <is>
          <t>SPDX、CycloneDX为开放事实格式，多厂商开源工具支持，无单点依赖。</t>
        </is>
      </c>
      <c r="U25" s="58" t="inlineStr">
        <is>
          <t>以软件物料清单（SBOM）、来源证明与安全开发框架管理开源与第三方组件风险，覆盖构建到部署全链路。</t>
        </is>
      </c>
      <c r="V25" s="58" t="inlineStr">
        <is>
          <t>· 从可见性（静态SBOM），到治理化、智能体化的持续管控
· 从事后漏洞响应，到secure-by-design与来源证明</t>
        </is>
      </c>
      <c r="W25" s="58" t="inlineStr">
        <is>
          <t>· 满足DORA等监管对ICT第三方与软件供应链风险管理要求，降低开源组件与投毒风险
· 与008零信任联动</t>
        </is>
      </c>
      <c r="X25" s="58" t="inlineStr">
        <is>
          <t>· SBOM覆盖与自动化程度不一、跨供应商协同、工具链整合与运维投入</t>
        </is>
      </c>
      <c r="Y25" s="64" t="inlineStr">
        <is>
          <t>Sonatype《2026 State of the Software Supply Chain》；ReversingLabs 2026指南；Cloudsmith《2026 Guide to Software Supply Chain Security》。
·【2026-07-14复核增补】欧盟CRA实施指引与SBOM合规要求（2026.06）</t>
        </is>
      </c>
      <c r="Z25" s="57" t="inlineStr">
        <is>
          <t>高</t>
        </is>
      </c>
      <c r="AA25" s="57" t="inlineStr">
        <is>
          <t>在库—已深化研究</t>
        </is>
      </c>
      <c r="AB25" s="58" t="n"/>
      <c r="AC25" s="57" t="inlineStr">
        <is>
          <t>2026-07-14</t>
        </is>
      </c>
      <c r="AD25" s="58" t="inlineStr">
        <is>
          <t>2026-07-07：长名单扩容新增（第一批候选）；2026-07-08：ZT022专题深化v1.0入库（约4700字，6条文献）；四维复核维持论证层；CRA部分义务2026-09生效；建议4—6个月快速论证，漏洞定位演练即刻可做</t>
        </is>
      </c>
      <c r="AE25" s="54" t="n"/>
    </row>
    <row r="26">
      <c r="A26" s="57" t="inlineStr">
        <is>
          <t>23</t>
        </is>
      </c>
      <c r="B26" s="58" t="inlineStr">
        <is>
          <t>深度伪造检测与反AI欺诈（Anti-deepfake·合成身份防御）</t>
        </is>
      </c>
      <c r="C26" s="58" t="inlineStr">
        <is>
          <t>安全／人工智能</t>
        </is>
      </c>
      <c r="D26" s="57" t="inlineStr">
        <is>
          <t>安全·业务</t>
        </is>
      </c>
      <c r="E26" s="57" t="inlineStr">
        <is>
          <t>关键</t>
        </is>
      </c>
      <c r="F26" s="66" t="inlineStr">
        <is>
          <t>论证层</t>
        </is>
      </c>
      <c r="G26" s="66" t="inlineStr">
        <is>
          <t>系统论证</t>
        </is>
      </c>
      <c r="H26" s="58" t="inlineStr">
        <is>
          <t>战略匹配度5分、价值贡献度5分（新加坡ABS案例单季度防损5390万新元）、战略紧迫度5分（2025年深伪欺诈同比激增约700%，现在必须启动）三高，宜系统论证（可快速立项）：以红队实测建立拦截率基线，评估多模态活体与深伪检测方案（供应商须单独提交IAD专项测试报告），建立可快速再训练机制，参照新加坡银行业协会案例设计检测-处置闭环，嵌入开户/支付/身份核验链路，与零信任架构（008）、AI安全平台（018）并线推进。</t>
        </is>
      </c>
      <c r="I26" s="61" t="n">
        <v>4</v>
      </c>
      <c r="J26" s="61" t="n">
        <v>5</v>
      </c>
      <c r="K26" s="61" t="n">
        <v>5</v>
      </c>
      <c r="L26" s="61" t="n">
        <v>4</v>
      </c>
      <c r="M26" s="61" t="n">
        <v>5</v>
      </c>
      <c r="N26" s="62" t="n">
        <v>3</v>
      </c>
      <c r="O26" s="58" t="inlineStr">
        <is>
          <t>检测工具已产业化，Gartner连续覆盖身份核验市场，多个行业已有生产案例，但IAD认证仍碎片化。</t>
        </is>
      </c>
      <c r="P26" s="58" t="inlineStr">
        <is>
          <t>命中安全／人工智能双战略方向，直击远程开户、人脸支付、代客交易等核心链路。</t>
        </is>
      </c>
      <c r="Q26" s="58" t="inlineStr">
        <is>
          <t>损失曲线陡峭（全球预测2030年583亿美元），新加坡ABS案例单季度防损5390万新元，价值显著且可量化。</t>
        </is>
      </c>
      <c r="R26" s="58" t="inlineStr">
        <is>
          <t>误拒平衡、跨系统集成、IAD认证缺口可通过分级核验与合同条款管控，非架构性障碍，风险总体可控。</t>
        </is>
      </c>
      <c r="S26" s="58" t="inlineStr">
        <is>
          <t>2025年深伪欺诈同比激增约700%、合成身份欺诈涨超300%，仅约7%机构达标中等以上防御力，现在必须启动。</t>
        </is>
      </c>
      <c r="T26" s="58" t="inlineStr">
        <is>
          <t>检测厂商（Sumsub、GetReal、Innovatrics等）以专有方案为主，部分认证标准（如iBeta PAD）尚不统一，专有与开放并存。</t>
        </is>
      </c>
      <c r="U26" s="58" t="inlineStr">
        <is>
          <t>检测AI生成的人脸/声音/证件与合成身份的技术，强化活体检测、多模态一致性与欺诈研判。</t>
        </is>
      </c>
      <c r="V26" s="58" t="inlineStr">
        <is>
          <t>· 从文档+自拍+活体分步核验，到多模态协同、对抗性检测
· 从静态规则，到可快速再训练的检测模型</t>
        </is>
      </c>
      <c r="W26" s="58" t="inlineStr">
        <is>
          <t>· 保护远程开户、人脸支付、代客交易与KYC，直接对冲深伪与合成身份欺诈激增
· 与008零信任、018 AI TRiSM并线</t>
        </is>
      </c>
      <c r="X26" s="58" t="inlineStr">
        <is>
          <t>· 攻防持续升级、检测需高频再训练；跨渠道集成与误拒率平衡；数据与算力投入</t>
        </is>
      </c>
      <c r="Y26" s="64" t="inlineStr">
        <is>
          <t>deepidv《Deepfake Detection for KYC 2026》；Sumsub《AI Fake ID Challenge for KYC》；GetReal《2026 Deepfake Summit》。
·【2026-07-14复核增补】Sumsub《Fraud Trends 2026》；Forbes技术委员会（2026.04）
·【2026-08-18深化增补】Innovatrics/ID Tech Wire（Air Bank案例）；Mobile ID World（新加坡ABS案例）；Jumio注入攻击专项披露（2025-08）；Biometric Update账户接管欺诈数据（2026-07）；Gartner《身份核验魔力象限》(2024首发/2026更新)、《数字身份成熟度曲线，2026》(2026-07-06)转引；AFIP/DuckDuckGoose深伪检测技术原理研究；FinCEN深伪欺诈预警(2024-11)细化；欧盟《人工智能法案》第50条透明度义务(2026-08-02生效)；国内《人工智能生成合成内容标识办法》（国信办通字〔2025〕2号，2025-09-01施行）。</t>
        </is>
      </c>
      <c r="Z26" s="57" t="inlineStr">
        <is>
          <t>高</t>
        </is>
      </c>
      <c r="AA26" s="57" t="inlineStr">
        <is>
          <t>在库—已深化研究</t>
        </is>
      </c>
      <c r="AB26" s="58" t="n"/>
      <c r="AC26" s="57" t="inlineStr">
        <is>
          <t>2026-08-18</t>
        </is>
      </c>
      <c r="AD26" s="58" t="inlineStr">
        <is>
          <t>2026-07-07：长名单扩容新增（第二批候选）；2026-07-08：ZT023专题深化v1.0入库（约5300字，9条文献）；四维复核维持论证层；FinCEN 2025Q4专项警示；建议紧迫路径快速立项，红队实测先行；2026-08-18：ZT023按十一章深度结构标准深化至v2.0（约1.3万字），新增Air Bank+Innovatrics、新加坡ABS七行协同两个实名同业案例及注入攻击/账户接管欺诈等量化数据，PB023同步升v2.0；四维评级维持中/高/高/中，论证层定档不变</t>
        </is>
      </c>
      <c r="AE26" s="54" t="n"/>
    </row>
    <row r="27">
      <c r="A27" s="57" t="inlineStr">
        <is>
          <t>24</t>
        </is>
      </c>
      <c r="B27" s="58" t="inlineStr">
        <is>
          <t>去中心化身份与可验证凭证（DID·VC·eIDAS 2.0数字钱包）</t>
        </is>
      </c>
      <c r="C27" s="58" t="inlineStr">
        <is>
          <t>安全／数据要素</t>
        </is>
      </c>
      <c r="D27" s="57" t="inlineStr">
        <is>
          <t>安全·业务</t>
        </is>
      </c>
      <c r="E27" s="57" t="inlineStr">
        <is>
          <t>新兴</t>
        </is>
      </c>
      <c r="F27" s="69" t="inlineStr">
        <is>
          <t>研究层</t>
        </is>
      </c>
      <c r="G27" s="69" t="inlineStr">
        <is>
          <t>深入研究</t>
        </is>
      </c>
      <c r="H27" s="58" t="inlineStr">
        <is>
          <t>战略匹配度5分（安全／数据要素双战略方向，契合KYC复用与隐私合规诉求），技术成熟度3分（标准体系仍在成型），宜深入研究：跟踪W3C VC/eIDAS进展与国内数字身份政策，评估KYC凭证复用与选择性披露在开户/授权的适用性，与深度伪造检测（023）、隐私增强计算（013）协同。</t>
        </is>
      </c>
      <c r="I27" s="62" t="n">
        <v>3</v>
      </c>
      <c r="J27" s="61" t="n">
        <v>5</v>
      </c>
      <c r="K27" s="62" t="n">
        <v>3</v>
      </c>
      <c r="L27" s="62" t="n">
        <v>3</v>
      </c>
      <c r="M27" s="62" t="n">
        <v>3</v>
      </c>
      <c r="N27" s="61" t="n">
        <v>4</v>
      </c>
      <c r="O27" s="58" t="inlineStr">
        <is>
          <t>标准体系（W3C VC、ISO 18013-5、eIDAS ARF）仍在成型，海外强制落地、国内路径待明确，属早期采用阶段。</t>
        </is>
      </c>
      <c r="P27" s="58" t="inlineStr">
        <is>
          <t>命中安全／数据要素双战略方向，契合KYC复用与隐私合规诉求。</t>
        </is>
      </c>
      <c r="Q27" s="58" t="inlineStr">
        <is>
          <t>KYC凭证复用与选择性披露改善开户体验、降低合规成本，单一维度价值为主。</t>
        </is>
      </c>
      <c r="R27" s="58" t="inlineStr">
        <is>
          <t>标准与监管框架未定、互认撤销机制待建，需专项投入治理。</t>
        </is>
      </c>
      <c r="S27" s="58" t="inlineStr">
        <is>
          <t>eIDAS 2.0要求2027年起欧盟银行须接受，但国内落地路径与监管框架尚未明确，属3—5年关键窗口。</t>
        </is>
      </c>
      <c r="T27" s="58" t="inlineStr">
        <is>
          <t>W3C VC为开放标准，去中心化架构本身避免单点依赖，多厂商钱包方案可选。</t>
        </is>
      </c>
      <c r="U27" s="58" t="inlineStr">
        <is>
          <t>以去中心化标识（DID）与可验证凭证（VC）让用户在本地钱包自主持有并选择性披露身份属性。</t>
        </is>
      </c>
      <c r="V27" s="58" t="inlineStr">
        <is>
          <t>· 从中心化账户与集中身份库，到用户自持、最小化披露
· 从重复KYC，到跨机构可复用可验证凭证</t>
        </is>
      </c>
      <c r="W27" s="58" t="inlineStr">
        <is>
          <t>· 简化KYC/复用、增强隐私与合规、跨机构凭证互认，改善开户与授权体验
· 与023身份防御、013隐私计算协同</t>
        </is>
      </c>
      <c r="X27" s="58" t="inlineStr">
        <is>
          <t>· 标准与生态（W3C VC、ISO 18013-5、eIDAS ARF）仍在成型；国内落地路径与监管框架待明确；互认与撤销机制</t>
        </is>
      </c>
      <c r="Y27" s="64" t="inlineStr">
        <is>
          <t>Ping Identity《Decentralized Identity in EU Finance》；《Enterprise Playbook 2026》；eIDAS 2.0 EUDI Wallet KYC指南2026。
·【2026-07-14复核增补】行业综述（2026）</t>
        </is>
      </c>
      <c r="Z27" s="57" t="inlineStr">
        <is>
          <t>中—高</t>
        </is>
      </c>
      <c r="AA27" s="57" t="inlineStr">
        <is>
          <t>在库—已深化研究</t>
        </is>
      </c>
      <c r="AB27" s="58" t="n"/>
      <c r="AC27" s="57" t="inlineStr">
        <is>
          <t>2026-07-14</t>
        </is>
      </c>
      <c r="AD27" s="58" t="inlineStr">
        <is>
          <t>2026-07-07：长名单扩容新增（第二批候选）；2026-07-08：ZT024专题深化v1.0入库（约5600字，11条文献），维持研究层/深入研究，四维评级维持成熟度中/契合度高/价值中—高/风险门槛中。</t>
        </is>
      </c>
      <c r="AE27" s="54" t="n"/>
    </row>
    <row r="28">
      <c r="A28" s="57" t="inlineStr">
        <is>
          <t>25</t>
        </is>
      </c>
      <c r="B28" s="58" t="inlineStr">
        <is>
          <t>量子保密通信／量子密钥分发（QKD·量子保密通信）</t>
        </is>
      </c>
      <c r="C28" s="58" t="inlineStr">
        <is>
          <t>量子科技／安全</t>
        </is>
      </c>
      <c r="D28" s="57" t="inlineStr">
        <is>
          <t>安全</t>
        </is>
      </c>
      <c r="E28" s="57" t="inlineStr">
        <is>
          <t>未来</t>
        </is>
      </c>
      <c r="F28" s="67" t="inlineStr">
        <is>
          <t>观察层</t>
        </is>
      </c>
      <c r="G28" s="67" t="inlineStr">
        <is>
          <t>动态观察</t>
        </is>
      </c>
      <c r="H28" s="58" t="inlineStr">
        <is>
          <t>战略匹配度5分虽高，但价值贡献度2分（普适性有限、难以规模化量化）、战略紧迫度仅1分（QKD因专用硬件与点对点链路限制难以互联网规模部署，各国监管优先PQC而非QKD），属动态观察典型，宜跟踪QKD+PQC混合组网与金融试点、成本曲线，与后量子密码学（007）安全线联动（防御侧优先），保持生态接触与小规模学习。</t>
        </is>
      </c>
      <c r="I28" s="60" t="n">
        <v>2</v>
      </c>
      <c r="J28" s="61" t="n">
        <v>5</v>
      </c>
      <c r="K28" s="60" t="n">
        <v>2</v>
      </c>
      <c r="L28" s="60" t="n">
        <v>2</v>
      </c>
      <c r="M28" s="60" t="n">
        <v>1</v>
      </c>
      <c r="N28" s="60" t="n">
        <v>2</v>
      </c>
      <c r="O28" s="58" t="inlineStr">
        <is>
          <t>中国已建16城约1.2万公里骨干量子网并试点QKD+PQC混合，属技术触发期爬升阶段。</t>
        </is>
      </c>
      <c r="P28" s="58" t="inlineStr">
        <is>
          <t>命中量子科技／安全双战略方向。</t>
        </is>
      </c>
      <c r="Q28" s="58" t="inlineStr">
        <is>
          <t>关键链路（备份、灾备、行际通信）抗窃听价值明确，但普适性有限，难以规模化量化。</t>
        </is>
      </c>
      <c r="R28" s="58" t="inlineStr">
        <is>
          <t>成本高、需专用光纤中继、组网受限，需专项立项治理方可能推进。</t>
        </is>
      </c>
      <c r="S28" s="58" t="inlineStr">
        <is>
          <t>QKD因专用硬件与点对点链路限制难以互联网规模部署，各国监管优先方向为PQC而非QKD，属5年以上长期赛道。</t>
        </is>
      </c>
      <c r="T28" s="58" t="inlineStr">
        <is>
          <t>专用硬件与骨干网建设以国内为主导，国际标准与互操作性有限，潜在替代路径迁移成本极高。</t>
        </is>
      </c>
      <c r="U28" s="58" t="inlineStr">
        <is>
          <t>基于量子物理原理分发密钥（QKD），提供对窃听敏感、理论上信息论安全的通信保护。</t>
        </is>
      </c>
      <c r="V28" s="58" t="inlineStr">
        <is>
          <t>· 从计算复杂度安全，到物理原理保障的密钥分发
· 从纯QKD，到QKD与后量子加密（PQC）混合组网</t>
        </is>
      </c>
      <c r="W28" s="58" t="inlineStr">
        <is>
          <t>· 关键链路（数据备份、同城/异地灾备、行际通信）的长周期抗窃听保护
· 与007 PQC、009量子计算防御线联动</t>
        </is>
      </c>
      <c r="X28" s="58" t="inlineStr">
        <is>
          <t>· 成本高、需专用光纤/中继、距离与组网受限；标准与可运营性不足；性价比与场景待验证</t>
        </is>
      </c>
      <c r="Y28" s="64" t="inlineStr">
        <is>
          <t>The Quantum Insider 2026量子密码公司盘点；Mordor QKD市场报告；Yale JIA《China's Quantum Ambitions》。
·【2026-07-14复核增补】NIST后量子迁移FAQ及行业分析（2026）</t>
        </is>
      </c>
      <c r="Z28" s="57" t="inlineStr">
        <is>
          <t>中—高</t>
        </is>
      </c>
      <c r="AA28" s="57" t="inlineStr">
        <is>
          <t>在库—已深化研究</t>
        </is>
      </c>
      <c r="AB28" s="58" t="n"/>
      <c r="AC28" s="57" t="inlineStr">
        <is>
          <t>2026-07-14</t>
        </is>
      </c>
      <c r="AD28" s="58" t="inlineStr">
        <is>
          <t>2026-07-07：长名单扩容新增（第二批候选）；2026-07-08：ZT025专题深化v1.0入库（约4900字，10条文献，观察层），核实境内量子骨干网已开放金融行业接入(150+用户)、境外HSBC/BBVA/Danske Bank试点案例，多数仍处实验室阶段；维持观察层/动态观察。</t>
        </is>
      </c>
      <c r="AE28" s="54" t="n"/>
    </row>
    <row r="29">
      <c r="A29" s="57" t="inlineStr">
        <is>
          <t>26</t>
        </is>
      </c>
      <c r="B29" s="58" t="inlineStr">
        <is>
          <t>神经形态与光子计算（Neuromorphic·Photonic Computing）</t>
        </is>
      </c>
      <c r="C29" s="58" t="inlineStr">
        <is>
          <t>未来计算（算力）</t>
        </is>
      </c>
      <c r="D29" s="57" t="inlineStr">
        <is>
          <t>技术</t>
        </is>
      </c>
      <c r="E29" s="57" t="inlineStr">
        <is>
          <t>未来</t>
        </is>
      </c>
      <c r="F29" s="67" t="inlineStr">
        <is>
          <t>观察层</t>
        </is>
      </c>
      <c r="G29" s="67" t="inlineStr">
        <is>
          <t>动态观察</t>
        </is>
      </c>
      <c r="H29" s="58" t="inlineStr">
        <is>
          <t>价值贡献度、引入可行度、战略紧迫度均为1分（仍处实验室／早期样机阶段，距银行可用尚远，5年以上长期赛道），属动态观察典型，宜跟踪光子/类脑加速器的能效突破与产业化信号，保持情报留痕，出现拐点再升层。</t>
        </is>
      </c>
      <c r="I29" s="60" t="n">
        <v>2</v>
      </c>
      <c r="J29" s="62" t="n">
        <v>3</v>
      </c>
      <c r="K29" s="60" t="n">
        <v>1</v>
      </c>
      <c r="L29" s="60" t="n">
        <v>1</v>
      </c>
      <c r="M29" s="60" t="n">
        <v>1</v>
      </c>
      <c r="N29" s="60" t="n">
        <v>2</v>
      </c>
      <c r="O29" s="58" t="inlineStr">
        <is>
          <t>光子加速器与类脑处理器已有Nature级突破与产业样机（如Xanadu 2026年3月合并上市），但通用可用性远未成熟，属技术触发期爬升阶段。</t>
        </is>
      </c>
      <c r="P29" s="58" t="inlineStr">
        <is>
          <t>命中未来计算（算力）方向下的技术路径之一，非当前核心旗舰应用。</t>
        </is>
      </c>
      <c r="Q29" s="58" t="inlineStr">
        <is>
          <t>远期能效／时延潜力高，但近期不可兑现，无法识别明确可量化价值点。</t>
        </is>
      </c>
      <c r="R29" s="58" t="inlineStr">
        <is>
          <t>仍处实验室／早期样机阶段，编程模型与工具链、生态缺失，人才与供应链极度稀缺。</t>
        </is>
      </c>
      <c r="S29" s="58" t="inlineStr">
        <is>
          <t>距银行可用尚远，属5年以上长期赛道，早晚推进对结果影响很小。</t>
        </is>
      </c>
      <c r="T29" s="58" t="inlineStr">
        <is>
          <t>仅Xanadu、PsiQuantum等少数厂商布局，标准与互操作性极早期，潜在替代路径迁移成本极高。</t>
        </is>
      </c>
      <c r="U29" s="58" t="inlineStr">
        <is>
          <t>类脑脉冲神经与硅光/光电器件的新型计算范式，追求超低功耗、超低时延的AI加速。</t>
        </is>
      </c>
      <c r="V29" s="58" t="inlineStr">
        <is>
          <t>· 从冯·诺依曼架构与电子算力，到类脑存算一体与光计算
· 从瓦级功耗，到微瓦级、亚纳秒时延推理</t>
        </is>
      </c>
      <c r="W29" s="58" t="inlineStr">
        <is>
          <t>· 远期为边缘风控、实时推理提供超低功耗算力选项，缓解AI能耗与散热压力
· 前瞻算力技术储备</t>
        </is>
      </c>
      <c r="X29" s="58" t="inlineStr">
        <is>
          <t>· 仍处实验室/早期样机、编程模型与工具链不成熟、生态缺失；距银行可用尚远</t>
        </is>
      </c>
      <c r="Y29" s="64" t="inlineStr">
        <is>
          <t>PatSnap《Photonic/Neuromorphic Computing Landscape 2026》；Nature《integrated photonic accelerator》2025；Wiley《Integrated Neuromorphic Photonic Computing》2026。
·【2026-07-14复核增补】Xanadu上市公告与PsiQuantum进展（2026.03）</t>
        </is>
      </c>
      <c r="Z29" s="57" t="inlineStr">
        <is>
          <t>中—高</t>
        </is>
      </c>
      <c r="AA29" s="57" t="inlineStr">
        <is>
          <t>在库—已深化研究</t>
        </is>
      </c>
      <c r="AB29" s="58" t="n"/>
      <c r="AC29" s="57" t="inlineStr">
        <is>
          <t>2026-07-14</t>
        </is>
      </c>
      <c r="AD29" s="58" t="inlineStr">
        <is>
          <t>2026-07-07：长名单扩容新增（第二批候选）；2026-07-08：ZT026专题深化v1.0入库（约4900字，10条文献，观察层），核实BrainChip Akida已商用出货于汽车安全系统、IBM NorthPole推进5nm商用流片，仍呈边缘场景先行/通用场景早期的分层特征；维持观察层/动态观察。</t>
        </is>
      </c>
      <c r="AE29" s="54" t="n"/>
    </row>
    <row r="30">
      <c r="A30" s="57" t="inlineStr">
        <is>
          <t>27</t>
        </is>
      </c>
      <c r="B30" s="58" t="inlineStr">
        <is>
          <t>神经符号AI／可推理AI（Neuro-symbolic AI）</t>
        </is>
      </c>
      <c r="C30" s="58" t="inlineStr">
        <is>
          <t>人工智能</t>
        </is>
      </c>
      <c r="D30" s="57" t="inlineStr">
        <is>
          <t>应用</t>
        </is>
      </c>
      <c r="E30" s="57" t="inlineStr">
        <is>
          <t>未来</t>
        </is>
      </c>
      <c r="F30" s="69" t="inlineStr">
        <is>
          <t>研究层</t>
        </is>
      </c>
      <c r="G30" s="69" t="inlineStr">
        <is>
          <t>深入研究</t>
        </is>
      </c>
      <c r="H30" s="58" t="inlineStr">
        <is>
          <t>战略匹配度4分（契合可解释与合规审计诉求），技术成熟度3分、价值贡献度3分兑现依赖工程成熟度，宜深入研究：跟踪神经符号与本体约束推理进展，在合规/授信可解释场景做概念验证，与因果AI（021）、AI安全平台（018）统筹可解释AI路线。</t>
        </is>
      </c>
      <c r="I30" s="62" t="n">
        <v>3</v>
      </c>
      <c r="J30" s="61" t="n">
        <v>4</v>
      </c>
      <c r="K30" s="62" t="n">
        <v>3</v>
      </c>
      <c r="L30" s="62" t="n">
        <v>3</v>
      </c>
      <c r="M30" s="62" t="n">
        <v>3</v>
      </c>
      <c r="N30" s="62" t="n">
        <v>3</v>
      </c>
      <c r="O30" s="58" t="inlineStr">
        <is>
          <t>2026年被业界称为神经符号AI转折点，随EU AI Act可解释性要求提升而升温，属早期采用阶段。</t>
        </is>
      </c>
      <c r="P30" s="58" t="inlineStr">
        <is>
          <t>命中人工智能战略方向，契合可解释与合规审计诉求。</t>
        </is>
      </c>
      <c r="Q30" s="58" t="inlineStr">
        <is>
          <t>高合规可审计场景的可解释推理与规则约束价值明确，兑现依赖工程成熟度，单一维度价值为主。</t>
        </is>
      </c>
      <c r="R30" s="58" t="inlineStr">
        <is>
          <t>知识／本体构建成本高、规模化落地案例少，需专项投入治理。</t>
        </is>
      </c>
      <c r="S30" s="58" t="inlineStr">
        <is>
          <t>监管对可追溯、可解释性要求持续提升，属3—5年关键窗口，尚未见银行级成熟案例拐点。</t>
        </is>
      </c>
      <c r="T30" s="58" t="inlineStr">
        <is>
          <t>学术界主导、部分推理框架已开源，但行业标准尚未统一，专有与开放并存。</t>
        </is>
      </c>
      <c r="U30" s="58" t="inlineStr">
        <is>
          <t>融合神经网络与符号逻辑推理，兼顾模式识别与可解释、可审计的结构化推理。</t>
        </is>
      </c>
      <c r="V30" s="58" t="inlineStr">
        <is>
          <t>· 从纯神经黑箱，到神经+符号可解释推理
· 从概率生成，到带前/后置条件、可审计的确定性执行</t>
        </is>
      </c>
      <c r="W30" s="58" t="inlineStr">
        <is>
          <t>· 高合规、可审计场景（授信、合规、风控）的可解释推理与规则约束
· 与021因果AI、018 TRiSM互补</t>
        </is>
      </c>
      <c r="X30" s="58" t="inlineStr">
        <is>
          <t>· 工程与工具尚不成熟、知识/本体构建成本高、规模化落地案例少</t>
        </is>
      </c>
      <c r="Y30" s="64" t="inlineStr">
        <is>
          <t>Cogent《The Year of Neuro-Symbolic AI 2026》；Stanford Tech Review 2026；arXiv 2604.00555 企业智能体神经符号架构。
·【2026-07-14复核增补】Gartner领域专用模型趋势（2026）</t>
        </is>
      </c>
      <c r="Z30" s="57" t="inlineStr">
        <is>
          <t>中—高</t>
        </is>
      </c>
      <c r="AA30" s="57" t="inlineStr">
        <is>
          <t>在库—已深化研究</t>
        </is>
      </c>
      <c r="AB30" s="58" t="n"/>
      <c r="AC30" s="57" t="inlineStr">
        <is>
          <t>2026-07-14</t>
        </is>
      </c>
      <c r="AD30" s="58" t="inlineStr">
        <is>
          <t>2026-07-07：长名单扩容新增（第二批候选）；2026-07-08：ZT027专题深化v1.0入库（约5500字，10条文献），维持研究层/深入研究，四维评级维持成熟度低—中/契合度中—高/价值中—高/风险门槛中。</t>
        </is>
      </c>
      <c r="AE30" s="54" t="n"/>
    </row>
    <row r="31">
      <c r="A31" s="57" t="inlineStr">
        <is>
          <t>28</t>
        </is>
      </c>
      <c r="B31" s="58" t="inlineStr">
        <is>
          <t>数字人与空间计算（Digital Human·Spatial Computing）</t>
        </is>
      </c>
      <c r="C31" s="58" t="inlineStr">
        <is>
          <t>客户体验／人工智能</t>
        </is>
      </c>
      <c r="D31" s="57" t="inlineStr">
        <is>
          <t>业务·应用</t>
        </is>
      </c>
      <c r="E31" s="57" t="inlineStr">
        <is>
          <t>新兴</t>
        </is>
      </c>
      <c r="F31" s="69" t="inlineStr">
        <is>
          <t>研究层</t>
        </is>
      </c>
      <c r="G31" s="69" t="inlineStr">
        <is>
          <t>深入研究</t>
        </is>
      </c>
      <c r="H31" s="58" t="inlineStr">
        <is>
          <t>战略紧迫度4分（《金融产品网络营销管理办法》2026年9月30日施行在即，合规边界收紧）、战略匹配度4分，技术成熟度3分、价值贡献度3分兑现依赖ROI验证，宜深入研究：在客服/财富顾问/网点场景做以行内知识为锚的数字人试点，评估体验、ROI与合规（话术留痕、适老），与向量数据库与RAG（016）、自主型AI智能体（001）协同。</t>
        </is>
      </c>
      <c r="I31" s="62" t="n">
        <v>3</v>
      </c>
      <c r="J31" s="61" t="n">
        <v>4</v>
      </c>
      <c r="K31" s="62" t="n">
        <v>3</v>
      </c>
      <c r="L31" s="62" t="n">
        <v>3</v>
      </c>
      <c r="M31" s="61" t="n">
        <v>4</v>
      </c>
      <c r="N31" s="62" t="n">
        <v>3</v>
      </c>
      <c r="O31" s="58" t="inlineStr">
        <is>
          <t>AI数字人市场2025→2026约98增至129亿美元CAGR约31%，金融业已有数字人顾问部署，属早期采用阶段。</t>
        </is>
      </c>
      <c r="P31" s="58" t="inlineStr">
        <is>
          <t>命中人工智能战略方向，契合客户体验升级诉求。</t>
        </is>
      </c>
      <c r="Q31" s="58" t="inlineStr">
        <is>
          <t>智能客服、财富顾问、网点服务体验升级价值明确，普适性中等，单一维度价值为主。</t>
        </is>
      </c>
      <c r="R31" s="58" t="inlineStr">
        <is>
          <t>ROI与合规（话术、录制、适老）待验证，拟人化风险与信任，需专项投入治理。</t>
        </is>
      </c>
      <c r="S31" s="58" t="inlineStr">
        <is>
          <t>《金融产品网络营销管理办法》2026年9月30日施行在即，数字人营销合规边界收紧，0—2年内需启动合规适配。</t>
        </is>
      </c>
      <c r="T31" s="58" t="inlineStr">
        <is>
          <t>数字人厂商较多但技术方案以专有为主，标准化程度中等。</t>
        </is>
      </c>
      <c r="U31" s="58" t="inlineStr">
        <is>
          <t>由生成式AI驱动、具多模态与持续记忆的数字人，结合空间计算/实时渲染提供拟人交互。</t>
        </is>
      </c>
      <c r="V31" s="58" t="inlineStr">
        <is>
          <t>· 从文本聊天机器人，到多模态、有记忆的拟人交互
· 从屏幕交互，到网点/可穿戴/空间计算沉浸体验</t>
        </is>
      </c>
      <c r="W31" s="58" t="inlineStr">
        <is>
          <t>· 智能客服、财富顾问、网点与远程服务的体验升级与人力替代
· 以行内知识为锚提供可溯源应答</t>
        </is>
      </c>
      <c r="X31" s="58" t="inlineStr">
        <is>
          <t>· ROI与合规（话术、录制、适老）待验证；拟人化风险与信任；渲染与算力成本</t>
        </is>
      </c>
      <c r="Y31" s="64" t="inlineStr">
        <is>
          <t>Forbes/Dell《Digital Humans in Financial Services》2026；Precedence《AI Avatar Market》；Nasdaq《AI Digital Human Advisors》。
·【2026-07-14复核增补】《金融产品网络营销管理办法》（施行日2026.09.30）</t>
        </is>
      </c>
      <c r="Z31" s="57" t="inlineStr">
        <is>
          <t>中—高</t>
        </is>
      </c>
      <c r="AA31" s="57" t="inlineStr">
        <is>
          <t>在库—已深化研究</t>
        </is>
      </c>
      <c r="AB31" s="58" t="n"/>
      <c r="AC31" s="57" t="inlineStr">
        <is>
          <t>2026-07-14</t>
        </is>
      </c>
      <c r="AD31" s="58" t="inlineStr">
        <is>
          <t>2026-07-07：长名单扩容新增（第二批候选）；2026-07-08：ZT028专题深化v1.0入库（约5100字，10条文献），维持研究层/深入研究，四维评级维持成熟度中/契合度中—高/价值中/风险门槛低—中。</t>
        </is>
      </c>
      <c r="AE31" s="54" t="n"/>
    </row>
    <row r="32">
      <c r="A32" s="57" t="inlineStr">
        <is>
          <t>29</t>
        </is>
      </c>
      <c r="B32" s="58" t="inlineStr">
        <is>
          <t>绿色与可持续IT／液冷数据中心</t>
        </is>
      </c>
      <c r="C32" s="58" t="inlineStr">
        <is>
          <t>信息基础设施（绿色算力）</t>
        </is>
      </c>
      <c r="D32" s="57" t="inlineStr">
        <is>
          <t>技术</t>
        </is>
      </c>
      <c r="E32" s="57" t="inlineStr">
        <is>
          <t>关键</t>
        </is>
      </c>
      <c r="F32" s="69" t="inlineStr">
        <is>
          <t>研究层</t>
        </is>
      </c>
      <c r="G32" s="69" t="inlineStr">
        <is>
          <t>深入研究</t>
        </is>
      </c>
      <c r="H32" s="58" t="inlineStr">
        <is>
          <t>技术成熟度4分（液冷从可选变必选）、战略紧迫度4分（新建数据中心PUE与液冷渗透率监管强制指标已明确），工程较成熟，宜深入研究：结合我行/入网数据中心评估液冷改造与PUE优化、余热回收与双碳收益，与算力网络（010）统筹算力与能效规划。</t>
        </is>
      </c>
      <c r="I32" s="61" t="n">
        <v>4</v>
      </c>
      <c r="J32" s="62" t="n">
        <v>3</v>
      </c>
      <c r="K32" s="62" t="n">
        <v>3</v>
      </c>
      <c r="L32" s="61" t="n">
        <v>4</v>
      </c>
      <c r="M32" s="61" t="n">
        <v>4</v>
      </c>
      <c r="N32" s="62" t="n">
        <v>3</v>
      </c>
      <c r="O32" s="58" t="inlineStr">
        <is>
          <t>液冷从可选变必选，2025年国内液冷数据中心投资规模约765.5亿元，多个行业已有生产案例。</t>
        </is>
      </c>
      <c r="P32" s="58" t="inlineStr">
        <is>
          <t>命中信息基础设施（绿色算力）方向下的技术路径之一，与010算力网络协同规划。</t>
        </is>
      </c>
      <c r="Q32" s="58" t="inlineStr">
        <is>
          <t>降低能耗与运营成本、满足双碳与ESG要求，属基础设施类单一维度价值。</t>
        </is>
      </c>
      <c r="R32" s="58" t="inlineStr">
        <is>
          <t>液冷改造与运维、机房供应链适配存在成本，但各子要素总体可控，可按常规评审推进。</t>
        </is>
      </c>
      <c r="S32" s="58" t="inlineStr">
        <is>
          <t>新建大型数据中心PUE强制不高于1.15、液冷渗透率不低于60%，监管明确时限，0—2年内需启动。</t>
        </is>
      </c>
      <c r="T32" s="58" t="inlineStr">
        <is>
          <t>液冷厂商方案多样，但浸没式／直冷等技术路线尚未统一标准，中等成本替代路径。</t>
        </is>
      </c>
      <c r="U32" s="58" t="inlineStr">
        <is>
          <t>以直冷/浸没式液冷、余热回收、零水冷等提升数据中心能效（PUE）与可持续性，支撑高密度AI算力。</t>
        </is>
      </c>
      <c r="V32" s="58" t="inlineStr">
        <is>
          <t>· 从风冷与高PUE，到液冷、余热回收、近零水耗
· 从算力扩张，到能效与双碳约束下的绿色算力</t>
        </is>
      </c>
      <c r="W32" s="58" t="inlineStr">
        <is>
          <t>· 支撑高功率AI机柜散热、降低能耗与运营成本、满足双碳与ESG
· 与010算力网络协同规划算力布局</t>
        </is>
      </c>
      <c r="X32" s="58" t="inlineStr">
        <is>
          <t>· 液冷改造与运维、机房与供应链适配、既有机房迁移成本；标准与选型</t>
        </is>
      </c>
      <c r="Y32" s="64" t="inlineStr">
        <is>
          <t>CoreSite《Data Center Outlook 2026》；Data Center Knowledge液冷趋势2026；MIT News核启发冷却2026-06。
·【2026-07-14复核增补】工信部数据中心新规与行业研究（2026.01–03）</t>
        </is>
      </c>
      <c r="Z32" s="57" t="inlineStr">
        <is>
          <t>高</t>
        </is>
      </c>
      <c r="AA32" s="57" t="inlineStr">
        <is>
          <t>在库—已深化研究</t>
        </is>
      </c>
      <c r="AB32" s="58" t="n"/>
      <c r="AC32" s="57" t="inlineStr">
        <is>
          <t>2026-07-14</t>
        </is>
      </c>
      <c r="AD32" s="58" t="inlineStr">
        <is>
          <t>2026-07-07：长名单扩容新增（第二批候选）；2026-07-08：ZT029专题深化v1.0入库（约5200字，10条文献），维持研究层/深入研究，四维评级维持成熟度中—高/契合度中—高/价值中/风险门槛低—中。</t>
        </is>
      </c>
      <c r="AE32" s="54" t="n"/>
    </row>
    <row r="33">
      <c r="A33" s="57" t="inlineStr">
        <is>
          <t>30</t>
        </is>
      </c>
      <c r="B33" s="58" t="inlineStr">
        <is>
          <t>监管科技与合规科技（RegTech·SupTech·AI-native合规）</t>
        </is>
      </c>
      <c r="C33" s="58" t="inlineStr">
        <is>
          <t>合规科技（RegTech）</t>
        </is>
      </c>
      <c r="D33" s="57" t="inlineStr">
        <is>
          <t>应用·业务</t>
        </is>
      </c>
      <c r="E33" s="57" t="inlineStr">
        <is>
          <t>关键</t>
        </is>
      </c>
      <c r="F33" s="69" t="inlineStr">
        <is>
          <t>研究层</t>
        </is>
      </c>
      <c r="G33" s="69" t="inlineStr">
        <is>
          <t>深入研究</t>
        </is>
      </c>
      <c r="H33" s="58" t="inlineStr">
        <is>
          <t>战略匹配度4分（直击AML、交易监控与报送刚需核心路径），引入可行度4分（各子要素总体可控），技术成熟度3分处早期采用阶段，宜深入研究：在AML/交易监控/监管报送场景评估AI-native RegTech与可解释性、监管认可与数据标准，与AI安全平台（018）、向量数据库与RAG（016）协同。</t>
        </is>
      </c>
      <c r="I33" s="62" t="n">
        <v>3</v>
      </c>
      <c r="J33" s="61" t="n">
        <v>4</v>
      </c>
      <c r="K33" s="62" t="n">
        <v>3</v>
      </c>
      <c r="L33" s="61" t="n">
        <v>4</v>
      </c>
      <c r="M33" s="62" t="n">
        <v>3</v>
      </c>
      <c r="N33" s="62" t="n">
        <v>3</v>
      </c>
      <c r="O33" s="58" t="inlineStr">
        <is>
          <t>工具与案例渐成形，监管认可与体系整合仍待深化，属早期采用阶段。</t>
        </is>
      </c>
      <c r="P33" s="58" t="inlineStr">
        <is>
          <t>命中合规科技（RegTech）战略方向，直击AML、交易监控与报送刚需核心路径。</t>
        </is>
      </c>
      <c r="Q33" s="58" t="inlineStr">
        <is>
          <t>降低合规成本、提升AML与报送效率与准确性，单一维度价值为主。</t>
        </is>
      </c>
      <c r="R33" s="58" t="inlineStr">
        <is>
          <t>监管数据标准与既有合规体系整合存在工作量，但各子要素总体可控，可按常规评审推进。</t>
        </is>
      </c>
      <c r="S33" s="58" t="inlineStr">
        <is>
          <t>央行2026年3月工作会议与金融监管总局系列文件持续推进监管数字化转型，属3—5年关键窗口。</t>
        </is>
      </c>
      <c r="T33" s="58" t="inlineStr">
        <is>
          <t>RegTech厂商方案以专有为主，标准化程度中等。</t>
        </is>
      </c>
      <c r="U33" s="58" t="inlineStr">
        <is>
          <t>以AI/NLP/知识图谱自动化合规：监管报送、交易监控、反洗钱、客户尽调与法规解析。</t>
        </is>
      </c>
      <c r="V33" s="58" t="inlineStr">
        <is>
          <t>· 从人工合规与事后核查，到AI-native持续、自适应合规
· 从孤立工具，到可互操作数据标准+AI工具链</t>
        </is>
      </c>
      <c r="W33" s="58" t="inlineStr">
        <is>
          <t>· 降低合规成本、提升AML/交易监控与报送效率与准确性、适应跨境复杂规则
· 与018 TRiSM、016 RAG协同</t>
        </is>
      </c>
      <c r="X33" s="58" t="inlineStr">
        <is>
          <t>· 监管数据标准与互操作、模型可解释与监管认可、法规更新时效；与既有合规体系整合</t>
        </is>
      </c>
      <c r="Y33" s="64" t="inlineStr">
        <is>
          <t>Central Banking《RegTech &amp; SupTech in central banks 2026》；MDPI《Digital Regulatory Governance》2025；TechMagic《RegTech 2026》。
·【2026-07-14复核增补】央行科技工作会议（2026.03）；金融监管总局实施方案（2025.12）与指导意见（2026.06.18）</t>
        </is>
      </c>
      <c r="Z33" s="57" t="inlineStr">
        <is>
          <t>高</t>
        </is>
      </c>
      <c r="AA33" s="57" t="inlineStr">
        <is>
          <t>在库—已深化研究</t>
        </is>
      </c>
      <c r="AB33" s="58" t="n"/>
      <c r="AC33" s="57" t="inlineStr">
        <is>
          <t>2026-07-14</t>
        </is>
      </c>
      <c r="AD33" s="58" t="inlineStr">
        <is>
          <t>2026-07-07：长名单扩容新增（第二批候选）；2026-07-08：ZT030专题深化v1.0入库（约5800字，11条文献），维持研究层/深入研究，四维评级维持成熟度中/契合度高/价值中—高/风险门槛低—中。</t>
        </is>
      </c>
      <c r="AE33" s="54" t="n"/>
    </row>
    <row r="34">
      <c r="A34" s="57" t="inlineStr">
        <is>
          <t>31</t>
        </is>
      </c>
      <c r="B34" s="58" t="inlineStr">
        <is>
          <t>业务编排与自动化技术（Business Orchestration and Automation Technologies，BOAT）</t>
        </is>
      </c>
      <c r="C34" s="58" t="inlineStr">
        <is>
          <t>数据要素／未来（企业级流程自动化）</t>
        </is>
      </c>
      <c r="D34" s="57" t="inlineStr">
        <is>
          <t>业务（跨应用）</t>
        </is>
      </c>
      <c r="E34" s="57" t="inlineStr">
        <is>
          <t>新兴（向关键演进）</t>
        </is>
      </c>
      <c r="F34" s="59" t="inlineStr">
        <is>
          <t>布局层</t>
        </is>
      </c>
      <c r="G34" s="59" t="inlineStr">
        <is>
          <t>提前布局</t>
        </is>
      </c>
      <c r="H34" s="58" t="inlineStr">
        <is>
          <t>市场类别已由Gartner正式确立、战略匹配度与价值贡献度评级高，按六维复核结果转为提前布局：梳理我行现有自动化与集成资产地图，提前明确BOAT平台整合路径与选型标准，并与智能体自动化（001／034）的分工提前规划，为后续规模化收敛占位。</t>
        </is>
      </c>
      <c r="I34" s="62" t="n">
        <v>3</v>
      </c>
      <c r="J34" s="61" t="n">
        <v>4</v>
      </c>
      <c r="K34" s="61" t="n">
        <v>4</v>
      </c>
      <c r="L34" s="62" t="n">
        <v>3</v>
      </c>
      <c r="M34" s="62" t="n">
        <v>3</v>
      </c>
      <c r="N34" s="62" t="n">
        <v>3</v>
      </c>
      <c r="O34" s="58" t="inlineStr">
        <is>
          <t>Gartner首版BOAT魔力象限于2025年10月发布、市场类别正式确立，平台整合与厂商格局仍在演进，属早期采用阶段。</t>
        </is>
      </c>
      <c r="P34" s="58" t="inlineStr">
        <is>
          <t>命中数据要素／未来（企业级流程自动化）方向，为存量RPA/BPM/低代码资产整合的核心路径。</t>
        </is>
      </c>
      <c r="Q34" s="58" t="inlineStr">
        <is>
          <t>端到端流程编排降本提效，并为智能体自动化（001/034）提供业务编排底座，覆盖效率与AI赋能多个维度。</t>
        </is>
      </c>
      <c r="R34" s="58" t="inlineStr">
        <is>
          <t>涉及存量RPA/BPM/iPaaS迁移，供应商锁定与选型风险，需专项投入治理。</t>
        </is>
      </c>
      <c r="S34" s="58" t="inlineStr">
        <is>
          <t>Gartner预计BOAT软件支出2029年将超210亿美元（CAGR33.9%），属3—5年关键窗口，尚无强制监管时限。</t>
        </is>
      </c>
      <c r="T34" s="58" t="inlineStr">
        <is>
          <t>领导者厂商（Appian、Pega、ServiceNow）以专有商业方案为主，也有Camunda等开源选项，专有与开放并存。</t>
        </is>
      </c>
      <c r="U34" s="58" t="inlineStr">
        <is>
          <t>由 Gartner 提出的整合型软件平台类别，在单一平台内汇聚业务流程编排、企业连接、低代码开发与智能体（agentic）自动化等能力，横跨 BPA、LCAP、iPaaS、IDP、RPA、协作式工作流与文档管理等原有市场，以端到端编排业务成果替代碎片化的单点自动化。</t>
        </is>
      </c>
      <c r="V34" s="58" t="inlineStr">
        <is>
          <t>· 从 RPA／BPM／iPaaS 各自为战的单点自动化，到统一平台端到端编排业务成果
· 从固定规则脚本，到 AI／智能体驱动的自主流程编排与实时事件响应
· 从 IT 集中开发，到低代码／无代码的业务与 IT 融合交付</t>
        </is>
      </c>
      <c r="W34" s="58" t="inlineStr">
        <is>
          <t>· 整合我行分散的 RPA／BPM／低代码／集成资产，降低集成与运维开销
· 以统一编排支撑授信审批、账户运营、合规报送等端到端流程自动化
· 为智能体自动化（001／034）提供业务流程编排底座，加速数字员工落地</t>
        </is>
      </c>
      <c r="X34" s="58" t="inlineStr">
        <is>
          <t>· 平台整合涉及存量 RPA／BPM／iPaaS 迁移，改造范围与切换成本大
· 供应商锁定与选型风险，市场刚形成、格局未定
· 与既有自动化平台并存期的治理、权限与审计复杂</t>
        </is>
      </c>
      <c r="Y34" s="64" t="inlineStr">
        <is>
          <t>· Gartner《Magic Quadrant for Business Orchestration and Automation Technologies》（Saikat Ray等6位分析师合著，2025年10月15日，文档编号G00828060，首版；全文存档于本行内部知识库）
· Gartner Peer Insights BOAT 市场（2026）
· 采集时间：2026-07-07（Gartner分析师2026-06-12推荐新增，已联网核实）
·【2026-07-14复核增补】Infosys Finacle《Banking Architecture Trend 2026》（2026）
·【2026-07-15深化增补】厂商官方发布信息（Pega、Camunda、Appian、Workato、Twoday）及技术解读资料（Camunda、Trisotech），已全文存档
【2026-08-17深化增补】Camunda官方案例研究(Barclays/Jyske Bank)、ServiceNow官方客户案例(Standard Chartered Bank)、Appian官方新闻稿(Pepper Money)，均已核实并存档；Forrester《The Total Economic Impact of Camunda for Enterprises》(2024)、IDC/Appian《The Business Value of Appian》效益测算参考研究；Gartner《Critical Capabilities for BOAT, Q3 2025》（转引自Pega新闻稿）；《银行保险机构信息科技外包风险监管办法》（银保监办发〔2021〕141号）、《银行保险机构操作风险管理办法》（国家金融监督管理总局令2023年第5号）、《银行保险机构数据安全管理办法》（金规〔2024〕24号）具体条款，均来自政府网官方发布页面，已核实。</t>
        </is>
      </c>
      <c r="Z34" s="57" t="inlineStr">
        <is>
          <t>高</t>
        </is>
      </c>
      <c r="AA34" s="58" t="inlineStr">
        <is>
          <t>在库—已深化研究</t>
        </is>
      </c>
      <c r="AB34" s="58" t="n"/>
      <c r="AC34" s="58" t="inlineStr">
        <is>
          <t>2026-07-14</t>
        </is>
      </c>
      <c r="AD34" s="58" t="inlineStr">
        <is>
          <t>Gartner分析师2026-06-12推荐新增，2026-07-07完成四维研判与分层；2026-07-08：ZT031专题深化v1.0入库（约4900字，6条文献）；四维复核维持论证层；Gartner首版BOAT魔力象限2030年70%整合预测；建议自动化资产地图盘点先行</t>
        </is>
      </c>
      <c r="AE34" s="58" t="inlineStr">
        <is>
          <t>Gartner分析师20260612推荐</t>
        </is>
      </c>
    </row>
    <row r="35">
      <c r="A35" s="57" t="inlineStr">
        <is>
          <t>32</t>
        </is>
      </c>
      <c r="B35" s="58" t="inlineStr">
        <is>
          <t>客户数字孪生（Digital Twin of a Customer，DToC）</t>
        </is>
      </c>
      <c r="C35" s="58" t="inlineStr">
        <is>
          <t>数据要素（仿真与决策）</t>
        </is>
      </c>
      <c r="D35" s="57" t="inlineStr">
        <is>
          <t>业务</t>
        </is>
      </c>
      <c r="E35" s="57" t="inlineStr">
        <is>
          <t>未来</t>
        </is>
      </c>
      <c r="F35" s="67" t="inlineStr">
        <is>
          <t>观察层</t>
        </is>
      </c>
      <c r="G35" s="67" t="inlineStr">
        <is>
          <t>动态观察</t>
        </is>
      </c>
      <c r="H35" s="58" t="inlineStr">
        <is>
          <t>技术成熟度1分、战略紧迫度1分（创新萌芽期，市场渗透率仅1%-5%，未检索到银行业生产级案例），引入可行度2分（个人信息保护与算法推荐合规红线密集），维持观察层／动态观察：季度扫描Gartner曲线位移与同业案例披露情况，重点跟踪《金融产品网络营销管理办法》执行细则，可在严格合规限定下探索客户流失预测、经营仿真等非个性化营销场景的小范围概念验证；原技术编号032所含的组织数字孪生（DTO）概念已移除，如需研究组织/流程仿真类数字孪生，应作为独立技术另行建档评估，不再与客户数字孪生合并研判。</t>
        </is>
      </c>
      <c r="I35" s="60" t="n">
        <v>1</v>
      </c>
      <c r="J35" s="62" t="n">
        <v>3</v>
      </c>
      <c r="K35" s="60" t="n">
        <v>2</v>
      </c>
      <c r="L35" s="60" t="n">
        <v>2</v>
      </c>
      <c r="M35" s="60" t="n">
        <v>1</v>
      </c>
      <c r="N35" s="62" t="n">
        <v>3</v>
      </c>
      <c r="O35" s="58" t="inlineStr">
        <is>
          <t>Gartner多期Hype Cycle一致将DToC置于创新萌芽期，市场渗透率仅1%-5%，未检索到银行业生产级案例，处萌芽阶段。</t>
        </is>
      </c>
      <c r="P35" s="58" t="inlineStr">
        <is>
          <t>命中数据要素（仿真与决策）方向下的技术路径之一，非核心旗舰应用。</t>
        </is>
      </c>
      <c r="Q35" s="58" t="inlineStr">
        <is>
          <t>精准营销、财富顾问、流失预警存在价值锚点，但金融场景数据基础与合规约束显著高于零售业，价值难以量化。</t>
        </is>
      </c>
      <c r="R35" s="58" t="inlineStr">
        <is>
          <t>《金融产品网络营销管理办法》《个人信息保护法》自动化决策公平性等构成客户级建模的多重合规红线，需专项立项治理。</t>
        </is>
      </c>
      <c r="S35" s="58" t="inlineStr">
        <is>
          <t>技术处于创新萌芽期，不宜投入研究资源或开展本行落地探索，属5年以上长期赛道。</t>
        </is>
      </c>
      <c r="T35" s="58" t="inlineStr">
        <is>
          <t>可用平台与方法论尚未定型，市场早期，专有与潜在开放路径并存。</t>
        </is>
      </c>
      <c r="U35" s="58" t="inlineStr">
        <is>
          <t>DToC是基于第一方数据实时构建的单一客户动态AI模型，通过身份解析、行为建模与情景仿真，模拟、预测并推演客户下一步行为与需求，为精准营销、财富顾问服务与风险预警提供前瞻输入。Gartner将其列为客户体验与销售转型的战略性新兴技术，2025年多份Hype Cycle报告将其定位于"创新萌芽期／新兴阶段"。</t>
        </is>
      </c>
      <c r="V35" s="58" t="inlineStr">
        <is>
          <t>· 从群体客户画像，到单客户级实时行为孪生与情景推演
· 从事后归因分析，到"假设-推演"式前瞻模拟
· 从人工经验驱动的营销决策，到孪生驱动的自动化触达与响应预测</t>
        </is>
      </c>
      <c r="W35" s="58" t="inlineStr">
        <is>
          <t>· 支撑精准营销触达、财富顾问服务、客户流失预测与风险预警
· 与033决策智能平台（决策推荐）、034多智能体系统（任务执行）、028数字人（交互呈现）构成技术链条，为其提供前瞻性预测输入
· 提升客户旅程模拟与运营仿真能力，辅助产品与渠道策略验证</t>
        </is>
      </c>
      <c r="X35" s="58" t="inlineStr">
        <is>
          <t>· 技术仍处创新萌芽期／新兴阶段，市场渗透率约1%-5%，可用平台与方法论未定型
· 客户级行为建模高度依赖个人信息保护、算法推荐与差异化定价合规红线，2026年9月30日起施行的《金融产品网络营销管理办法》进一步收紧适用边界
· 统一数据基础、聚焦型机器学习模型、实时同步与激活路径四项前提对多数机构均非现成能力，建设与运维投入大
· 截至本轮复核，未检索到可公开核实的银行业生产级落地案例，行业整体仍以零售、消费品等非金融场景先行</t>
        </is>
      </c>
      <c r="Y35" s="64" t="inlineStr">
        <is>
          <t>· Gartner新闻稿《Hype Cycle Reveals How AI and Digital Advancements Are Primed to Aid Sales Transformations》（2025-10-30，DToC置于创新萌芽期）
· Gartner《Hype Cycle for CRM Technologies, 2025》（G00827302，2025-07-09，DToC列"On the Rise"新兴阶段、效益评级高、渗透率1%-5%，经第三方转引页面部分核实）
· Gartner供应链洞察《A Digital Twin of the Customer Could Transform Your Supply Chain Digitalization Strategy》（Beth Coppinger，2023-06-16，27%对60%试点/规划数据）
· 中国人民银行等八部门《金融产品网络营销管理办法》（2026-04-24印发/2026-09-30施行）；国家网信办等四部门《互联网信息服务算法推荐管理规定》（2021-12-31公布/2022-03-01施行）；中国人民银行《金融领域科技伦理指引》（JR/T 0258—2022）
采集截止日期：2026-08-18。</t>
        </is>
      </c>
      <c r="Z35" s="57" t="inlineStr">
        <is>
          <t>中—高</t>
        </is>
      </c>
      <c r="AA35" s="58" t="inlineStr">
        <is>
          <t>在库—已深化研究</t>
        </is>
      </c>
      <c r="AB35" s="58" t="n"/>
      <c r="AC35" s="58" t="inlineStr">
        <is>
          <t>2026-07-14</t>
        </is>
      </c>
      <c r="AD35" s="58" t="inlineStr">
        <is>
          <t>Gartner分析师2026-06-12推荐新增，2026-07-07完成四维研判与分层；2026-07-08：ZT032专题深化v1.0入库（约5800字，10条文献，观察层），核实Gartner确认DToC处创新萌芽期，境内2026-04新规《金融产品网络营销管理办法》(2026-09-30施行)已将算法推荐纳入监管、要求提供非个性化选项；维持观察层/动态观察。</t>
        </is>
      </c>
      <c r="AE35" s="58" t="inlineStr">
        <is>
          <t>Gartner分析师20260612推荐</t>
        </is>
      </c>
    </row>
    <row r="36">
      <c r="A36" s="57" t="inlineStr">
        <is>
          <t>33</t>
        </is>
      </c>
      <c r="B36" s="58" t="inlineStr">
        <is>
          <t>决策智能平台（Decision Intelligence Platform，DIP）</t>
        </is>
      </c>
      <c r="C36" s="58" t="inlineStr">
        <is>
          <t>数据要素（决策智能）</t>
        </is>
      </c>
      <c r="D36" s="57" t="inlineStr">
        <is>
          <t>数据</t>
        </is>
      </c>
      <c r="E36" s="57" t="inlineStr">
        <is>
          <t>关键</t>
        </is>
      </c>
      <c r="F36" s="66" t="inlineStr">
        <is>
          <t>论证层</t>
        </is>
      </c>
      <c r="G36" s="66" t="inlineStr">
        <is>
          <t>系统论证</t>
        </is>
      </c>
      <c r="H36" s="58" t="inlineStr">
        <is>
          <t>价值贡献度5分（决策自动化与增强直接创造业务价值，多维度显著且可量化）、战略匹配度4分、技术成熟度4分（Gartner已发布魔力象限，市场成熟），宜系统论证：盘点我行授信/风控/营销决策资产，评估DIP与现有决策引擎的整合路径，结合因果AI（021）强化可解释与反事实能力，选取高价值决策场景开展论证与试点。</t>
        </is>
      </c>
      <c r="I36" s="61" t="n">
        <v>4</v>
      </c>
      <c r="J36" s="61" t="n">
        <v>4</v>
      </c>
      <c r="K36" s="61" t="n">
        <v>5</v>
      </c>
      <c r="L36" s="62" t="n">
        <v>3</v>
      </c>
      <c r="M36" s="62" t="n">
        <v>3</v>
      </c>
      <c r="N36" s="62" t="n">
        <v>3</v>
      </c>
      <c r="O36" s="58" t="inlineStr">
        <is>
          <t>Gartner于2026年1月发布决策智能平台魔力象限，FICO/SAS/ACTICO等厂商成熟，多个行业已有生产案例。</t>
        </is>
      </c>
      <c r="P36" s="58" t="inlineStr">
        <is>
          <t>命中数据要素（决策智能）战略方向，授信、风控、反欺诈等银行核心业务本质即决策，契合度极高。</t>
        </is>
      </c>
      <c r="Q36" s="58" t="inlineStr">
        <is>
          <t>决策自动化与增强直接创造业务价值，决策留痕支撑可解释与合规，多维度显著价值且可量化。</t>
        </is>
      </c>
      <c r="R36" s="58" t="inlineStr">
        <is>
          <t>需与现有决策引擎、规则平台整合，统一口径难度大，需专项投入治理。</t>
        </is>
      </c>
      <c r="S36" s="58" t="inlineStr">
        <is>
          <t>Gartner预测2026年75%全球500强将应用决策智能实践，"治理化规模决策"成为2026年银行运营关键词，属3—5年关键窗口。</t>
        </is>
      </c>
      <c r="T36" s="58" t="inlineStr">
        <is>
          <t>FICO、SAS、Aera等厂商以专有商业方案为主，标准化程度中等。</t>
        </is>
      </c>
      <c r="U36" s="58" t="inlineStr">
        <is>
          <t>融合显式决策建模、AI、分析等能力以支持、增强或自动化决策的平台，将决策作为可设计、可复用、可追溯、可优化的对象，驱动业务成果并支持决策留痕以供复盘。</t>
        </is>
      </c>
      <c r="V36" s="58" t="inlineStr">
        <is>
          <t>· 从分散的分析报表，到以决策为中心、可建模可复用的决策资产
· 从人工经验决策，到 AI 增强与自动化决策闭环
· 从事后归因，到决策全过程留痕与持续优化</t>
        </is>
      </c>
      <c r="W36" s="58" t="inlineStr">
        <is>
          <t>· 授信审批、风控反欺诈、催收、营销与定价等核心决策的建模、增强与自动化
· 决策留痕支撑可解释、可审计与监管合规
· 与因果AI（021）结合提升决策可解释性与反事实推演</t>
        </is>
      </c>
      <c r="X36" s="58" t="inlineStr">
        <is>
          <t>· 与现有决策引擎/规则平台整合、口径统一难度大
· 决策模型的可解释性、偏见与治理要求高
· 组织需具备决策工程与数据治理能力</t>
        </is>
      </c>
      <c r="Y36" s="64" t="inlineStr">
        <is>
          <t>· Gartner《Magic Quadrant for Decision Intelligence Platforms》（2026.01.26）《Market Guide for DIP》
· FICO/SAS 决策智能金融应用；FintechNews《Top DIP of 2026》
· 采集时间：2026-07-07（Gartner分析师2026-06-12推荐新增；与021因果AI关联，以本条目为主、021为补充）
·【2026-07-14复核增补】银行业AI趋势报告（2026）
【2026-07-15深化增补】Gartner《Magic Quadrant for Decision Intelligence Platforms》（G00827619，2026-01-26）全文已获授权订阅、存于本行内部知识库，含17家厂商完整评述与原版象限图，已全文存档
【2026-08-17专题补充】Gartner分析师2026-08-04现场技术交流纪要与配套技术分析报告（行内知识库留存，非公开信源）；自制3层混合决策智能框架示意图（据交流内容整理）；采集/整理日期：2026-08-17
【2026-08-17修订增补】FICO官方新闻稿《Nationwide Speeds Up Credit Decisioning by 50% with FICO Platform》（2026-03-11，公开可查）；Forrester Consulting对Quantexa委托研究新闻稿（2024-02-08，公开可查）</t>
        </is>
      </c>
      <c r="Z36" s="57" t="inlineStr">
        <is>
          <t>高</t>
        </is>
      </c>
      <c r="AA36" s="58" t="inlineStr">
        <is>
          <t>在库—已深化研究</t>
        </is>
      </c>
      <c r="AB36" s="58" t="n"/>
      <c r="AC36" s="58" t="inlineStr">
        <is>
          <t>2026-07-14</t>
        </is>
      </c>
      <c r="AD36" s="58" t="inlineStr">
        <is>
          <t>Gartner分析师2026-06-12推荐新增，2026-07-07完成四维研判与分层；2026-07-08：ZT033专题深化v1.0入库（约4700字，6条文献）；四维复核维持论证层；DIP首版魔力象限FICO/SAS领跑；建议决策资产盘点先行、与021因果AI联动论证</t>
        </is>
      </c>
      <c r="AE36" s="58" t="inlineStr">
        <is>
          <t>Gartner分析师20260612推荐</t>
        </is>
      </c>
    </row>
    <row r="37">
      <c r="A37" s="57" t="inlineStr">
        <is>
          <t>34</t>
        </is>
      </c>
      <c r="B37" s="58" t="inlineStr">
        <is>
          <t>多智能体系统（Multi-Agent Systems，MAS）</t>
        </is>
      </c>
      <c r="C37" s="58" t="inlineStr">
        <is>
          <t>人工智能（智能体协同）</t>
        </is>
      </c>
      <c r="D37" s="57" t="inlineStr">
        <is>
          <t>应用（跨业务）</t>
        </is>
      </c>
      <c r="E37" s="57" t="inlineStr">
        <is>
          <t>新兴（向关键演进）</t>
        </is>
      </c>
      <c r="F37" s="59" t="inlineStr">
        <is>
          <t>布局层</t>
        </is>
      </c>
      <c r="G37" s="59" t="inlineStr">
        <is>
          <t>提前布局</t>
        </is>
      </c>
      <c r="H37" s="58" t="inlineStr">
        <is>
          <t>战略价值高、与自主型AI智能体（001）、AI智能体互操作协议（017）协同紧密，按六维复核结果转为提前布局：以AI安全平台（018）为统一护栏前置，提前建立单体与多智能体的分工与编排标准储备，选取反欺诈／投研等高价值场景做前瞻性技术与人才准备，严控安全与成本，避免盲目规模化。</t>
        </is>
      </c>
      <c r="I37" s="60" t="n">
        <v>2</v>
      </c>
      <c r="J37" s="61" t="n">
        <v>4</v>
      </c>
      <c r="K37" s="61" t="n">
        <v>4</v>
      </c>
      <c r="L37" s="62" t="n">
        <v>3</v>
      </c>
      <c r="M37" s="62" t="n">
        <v>3</v>
      </c>
      <c r="N37" s="61" t="n">
        <v>4</v>
      </c>
      <c r="O37" s="58" t="inlineStr">
        <is>
          <t>Gartner列为2026年顶级战略技术趋势，2026Q1约80%新交付应用嵌入AI智能体，但预测2027年超40%智能体AI项目将被取消，处技术触发期爬升阶段。</t>
        </is>
      </c>
      <c r="P37" s="58" t="inlineStr">
        <is>
          <t>命中人工智能战略方向，银行保险业智能体采纳领先（约47%），与001/017直接协同。</t>
        </is>
      </c>
      <c r="Q37" s="58" t="inlineStr">
        <is>
          <t>复杂流程多智能体协同自动化潜力大，为AI数字团队核心能力，覆盖效率与专业度多个维度。</t>
        </is>
      </c>
      <c r="R37" s="58" t="inlineStr">
        <is>
          <t>安全攻击面随智能体数量扩大、复合误差累积可靠性下降，以018 AISP为统一护栏前置管控后风险总体可管理，需专项投入治理。</t>
        </is>
      </c>
      <c r="S37" s="58" t="inlineStr">
        <is>
          <t>57%银行高管预期三年内智能体进入风险、合规、审计与反欺诈流程，属3—5年关键窗口。</t>
        </is>
      </c>
      <c r="T37" s="58" t="inlineStr">
        <is>
          <t>与017互操作协议共享MCP/A2A开放生态，多厂商可选。</t>
        </is>
      </c>
      <c r="U37" s="58" t="inlineStr">
        <is>
          <t>由多个任务专精的 AI 智能体分工协作、相互通信与协调以完成复杂任务的系统；在单体自主智能体（001）之上引入编排、角色分工与协作机制，提升可扩展性与专业度。</t>
        </is>
      </c>
      <c r="V37" s="58" t="inlineStr">
        <is>
          <t>· 从单一智能体，到多个专精智能体分工协作的复合系统
· 从人工编排流程，到智能体间自主协商、任务分解与协同执行
· 从窄场景自动化，到端到端跨流程的 AI 数字团队</t>
        </is>
      </c>
      <c r="W37" s="58" t="inlineStr">
        <is>
          <t>· 反欺诈、投研、跨境金融、运营与合规等复杂流程的多智能体协同自动化
· 与001自主智能体、017互操作协议（MCP/A2A）协同，构建 AI 数字员工团队
· 提升复杂任务的专业度、并行度与可扩展性</t>
        </is>
      </c>
      <c r="X37" s="58" t="inlineStr">
        <is>
          <t>· 安全攻击面随智能体数量扩大，编排与监控复杂度高
· 复合误差累积导致可靠性下降，治理与可观测工具不成熟
· Gartner 预警到2027年超40%智能体AI项目将被取消，成本与ROI不确定</t>
        </is>
      </c>
      <c r="Y37" s="64" t="inlineStr">
        <is>
          <t>· Gartner《Top Strategic Technology Trends 2026: Multiagent Systems》《Multiagent Systems in Enterprise AI》
· S&amp;P Global/McKinsey 智能体生产部署统计（2026）
· 采集时间：2026-07-07（Gartner分析师2026-06-12推荐新增；与001/017关联，以本条目为主、001/017为补充；护栏依赖018 AISP）
·【2026-07-14复核增补】Accenture银行业展望2026；多智能体系统行业白皮书（2026）</t>
        </is>
      </c>
      <c r="Z37" s="57" t="inlineStr">
        <is>
          <t>极高</t>
        </is>
      </c>
      <c r="AA37" s="58" t="inlineStr">
        <is>
          <t>在库—已深化研究</t>
        </is>
      </c>
      <c r="AB37" s="58" t="n"/>
      <c r="AC37" s="58" t="inlineStr">
        <is>
          <t>2026-07-14</t>
        </is>
      </c>
      <c r="AD37" s="58" t="inlineStr">
        <is>
          <t>Gartner分析师2026-06-12推荐新增，2026-07-07完成四维研判与分层；2026-07-08：ZT034专题深化v1.0入库（约5700字，9条文献）；四维复核维持论证层（受控论证）；Gartner 40%+取消预测为核心风险锚点；018/036就绪为硬性前置关口</t>
        </is>
      </c>
      <c r="AE37" s="58" t="inlineStr">
        <is>
          <t>Gartner分析师20260612推荐</t>
        </is>
      </c>
    </row>
    <row r="38">
      <c r="A38" s="57" t="inlineStr">
        <is>
          <t>35</t>
        </is>
      </c>
      <c r="B38" s="58" t="inlineStr">
        <is>
          <t>可组合核心银行系统（Composable Core Banking System）</t>
        </is>
      </c>
      <c r="C38" s="58" t="inlineStr">
        <is>
          <t>数据要素／未来（核心系统现代化）</t>
        </is>
      </c>
      <c r="D38" s="57" t="inlineStr">
        <is>
          <t>应用</t>
        </is>
      </c>
      <c r="E38" s="57" t="inlineStr">
        <is>
          <t>关键</t>
        </is>
      </c>
      <c r="F38" s="67" t="inlineStr">
        <is>
          <t>观察层</t>
        </is>
      </c>
      <c r="G38" s="67" t="inlineStr">
        <is>
          <t>动态观察</t>
        </is>
      </c>
      <c r="H38" s="58" t="inlineStr">
        <is>
          <t>核心系统现代化方向明确、价值贡献度评级高，但引入可行度触及否决线（改造投入巨大、迁移周期长、业务连续性风险高），按六维复核短板原则转为动态观察，并优先评估可行度短板：跟踪同业规模化落地案例与PBC增量替换路径的风险管控经验，形成可分阶段、低风险的迁移方案后再评估转入系统论证。</t>
        </is>
      </c>
      <c r="I38" s="62" t="n">
        <v>3</v>
      </c>
      <c r="J38" s="61" t="n">
        <v>4</v>
      </c>
      <c r="K38" s="61" t="n">
        <v>4</v>
      </c>
      <c r="L38" s="60" t="n">
        <v>2</v>
      </c>
      <c r="M38" s="62" t="n">
        <v>3</v>
      </c>
      <c r="N38" s="62" t="n">
        <v>3</v>
      </c>
      <c r="O38" s="58" t="inlineStr">
        <is>
          <t>Gartor魔力象限已发布，可组合银行原则清晰，但可组合核心的规模化落地仍在推进，属早期采用阶段。</t>
        </is>
      </c>
      <c r="P38" s="58" t="inlineStr">
        <is>
          <t>命中数据要素／未来（核心系统现代化）方向，为核心系统现代化的核心路径，库中原为空白补位价值大。</t>
        </is>
      </c>
      <c r="Q38" s="58" t="inlineStr">
        <is>
          <t>缩短产品上线周期、以PBC增量降险、云原生降本，长期业务价值高，覆盖效率与成本多个维度。</t>
        </is>
      </c>
      <c r="R38" s="58" t="inlineStr">
        <is>
          <t>核心改造投入巨大、迁移周期长、业务连续性风险高，需专项立项治理方可能推进，触发引入可行度否决线。</t>
        </is>
      </c>
      <c r="S38" s="58" t="inlineStr">
        <is>
          <t>2026年银行CIO将核心现代化列为优先事项，属3—5年关键窗口，尚无强制个体时限。</t>
        </is>
      </c>
      <c r="T38" s="58" t="inlineStr">
        <is>
          <t>Gartner魔力象限多厂商但商业方案为主，PBC模块化理念开放、具体实现仍偏专有，中等成本替代路径。</t>
        </is>
      </c>
      <c r="U38" s="58" t="inlineStr">
        <is>
          <t>以 API 化模块与打包业务能力（Packaged Business Capabilities，PBC）搭建的核心银行系统，允许银行按需组合、快速配置产品与旅程，强调可组合性、云原生与业务功能广度，替代单体式核心。</t>
        </is>
      </c>
      <c r="V38" s="58" t="inlineStr">
        <is>
          <t>· 从单体式紧耦合核心，到 API 化、模块化 PBC 可组合核心
· 从长周期瀑布式改造，到按能力增量替换与快速产品迭代
· 从本地部署，到云原生、弹性伸缩的核心架构</t>
        </is>
      </c>
      <c r="W38" s="58" t="inlineStr">
        <is>
          <t>· 支撑我行核心系统现代化，缩短产品上线周期、提升敏捷性
· 以 PBC 增量替换降低单体核心改造的整体风险
· 云原生与模块化降低长期维护成本与运营波动</t>
        </is>
      </c>
      <c r="X38" s="58" t="inlineStr">
        <is>
          <t>· 核心改造投入巨大、迁移周期长，业务连续性风险高
· PBC 拆分与数据一致性、分布式事务治理复杂
· 组织能力、供应商生态与既有资产协调难度大</t>
        </is>
      </c>
      <c r="Y38" s="64" t="inlineStr">
        <is>
          <t>· Gartner《Magic Quadrant/Critical Capabilities for Retail Core Banking Systems》（2026）《Composable Technology: A Top Banking Trend》
· Gartner 4项可组合银行原则；ebankIT/DBP 洞察
· 采集时间：2026-07-07（Gartner分析师2026-06-12推荐新增，已联网核实）
·【2026-07-14复核增补】Forbes／Visa可组合核心现代化专文（2026.06.24）；香港金管局（2026.04）
·【2026-07-15深化增补】方法论专章依据既有Retail Core Banking Systems/Banking Payment Hub Platforms魔力象限引注（[1][2][3][4][5][8]）展开，未新增外部来源。</t>
        </is>
      </c>
      <c r="Z38" s="57" t="inlineStr">
        <is>
          <t>中—高</t>
        </is>
      </c>
      <c r="AA38" s="58" t="inlineStr">
        <is>
          <t>在库—已深化研究</t>
        </is>
      </c>
      <c r="AB38" s="58" t="n"/>
      <c r="AC38" s="58" t="inlineStr">
        <is>
          <t>2026-07-20</t>
        </is>
      </c>
      <c r="AD38" s="58" t="inlineStr">
        <is>
          <t>Gartner分析师2026-06-12推荐新增，2026-07-07完成四维研判与分层；2026-07-08：ZT035专题深化v1.0入库（约6200字，11条文献，含杭州银行/ING银行同业案例），维持研究层/深入研究，四维评级维持成熟度中/契合度高/价值高/风险门槛中—高。；2026-07-20补入Gartner原图与全文</t>
        </is>
      </c>
      <c r="AE38" s="58" t="inlineStr">
        <is>
          <t>Gartner分析师20260612推荐</t>
        </is>
      </c>
    </row>
    <row r="39">
      <c r="A39" s="57" t="inlineStr">
        <is>
          <t>36</t>
        </is>
      </c>
      <c r="B39" s="58" t="inlineStr">
        <is>
          <t>人工智能应用开发平台与模型运维（AI Application Development Platform &amp; LLMOps）</t>
        </is>
      </c>
      <c r="C39" s="58" t="inlineStr">
        <is>
          <t>人工智能（AI工程化）</t>
        </is>
      </c>
      <c r="D39" s="57" t="inlineStr">
        <is>
          <t>技术</t>
        </is>
      </c>
      <c r="E39" s="57" t="inlineStr">
        <is>
          <t>关键</t>
        </is>
      </c>
      <c r="F39" s="66" t="inlineStr">
        <is>
          <t>论证层</t>
        </is>
      </c>
      <c r="G39" s="66" t="inlineStr">
        <is>
          <t>系统论证</t>
        </is>
      </c>
      <c r="H39" s="58" t="inlineStr">
        <is>
          <t>技术成熟度4分（LLMOps类别已收敛为专用平台集）、战略匹配度4分、价值贡献度4分、战略紧迫度4分（金融监管总局指导意见鼓励建设一站式AI开发平台），是AI规模化生产的必备底座，宜系统论证：结合平台工程/IDP（011）规划AI工程化内部平台，明确评测/可观测/护栏/成本归因的工具收敛策略，与AI安全平台（018）的安全护栏对接，支撑AI应用从试点走向可治理生产。</t>
        </is>
      </c>
      <c r="I39" s="61" t="n">
        <v>4</v>
      </c>
      <c r="J39" s="61" t="n">
        <v>4</v>
      </c>
      <c r="K39" s="61" t="n">
        <v>4</v>
      </c>
      <c r="L39" s="62" t="n">
        <v>3</v>
      </c>
      <c r="M39" s="61" t="n">
        <v>4</v>
      </c>
      <c r="N39" s="61" t="n">
        <v>4</v>
      </c>
      <c r="O39" s="58" t="inlineStr">
        <is>
          <t>2026年LLMOps类别已收敛为专用平台集（MLflow、LangSmith等已多年生产验证），多个行业已有生产案例。</t>
        </is>
      </c>
      <c r="P39" s="58" t="inlineStr">
        <is>
          <t>命中人工智能（AI工程化）战略方向，为001/002/019规模化落地的工程化底座核心路径。</t>
        </is>
      </c>
      <c r="Q39" s="58" t="inlineStr">
        <is>
          <t>缩短AI应用从试点到生产的周期，提供评测、可观测、成本归因与护栏，覆盖效率与治理多个维度。</t>
        </is>
      </c>
      <c r="R39" s="58" t="inlineStr">
        <is>
          <t>工具链碎片化、生产化仍是主要失败点（约85%模型失败于生产部署环节），需专项投入治理。</t>
        </is>
      </c>
      <c r="S39" s="58" t="inlineStr">
        <is>
          <t>金融监管总局指导意见鼓励建设一站式AI开发平台与AI评测体系，由工程选型上升为监管鼓励方向，0—2年内需启动。</t>
        </is>
      </c>
      <c r="T39" s="58" t="inlineStr">
        <is>
          <t>MLflow、Langfuse等主流工具多为开源，多厂商可选，具备国产化替代路径。</t>
        </is>
      </c>
      <c r="U39" s="58" t="inlineStr">
        <is>
          <t>面向大模型/生成式 AI 应用全生命周期的开发与运维平台能力，覆盖提示工程与版本管理、评测、部署、可观测、护栏与成本归因，将 AI 应用从实验推向可治理的规模化生产。</t>
        </is>
      </c>
      <c r="V39" s="58" t="inlineStr">
        <is>
          <t>· 从手工调试提示、脚本部署，到标准化的 AI 应用开发与运维流水线
· 从模型能力优先，到生产工程、可观测与治理并重
· 从单点工具，到贯穿评测/追踪/网关/注册的一体化 LLMOps 底座</t>
        </is>
      </c>
      <c r="W39" s="58" t="inlineStr">
        <is>
          <t>· 支撑001/002/019等 AI 应用规模化落地，缩短从试点到生产的周期
· 提供评测、可观测、成本归因与护栏，满足 AI 治理与监管要求
· 与011平台工程/IDP 协同，形成 AI 工程化内部平台</t>
        </is>
      </c>
      <c r="X39" s="58" t="inlineStr">
        <is>
          <t>· 工具链碎片化，多数企业需组合3–5个专用工具，缺乏统一企业上下文与治理
· 生产化仍是主要失败点（Gartner 归因约85%的 AI 模型失败于生产部署环节）
· 需相应组织能力、评测基准与合规配套</t>
        </is>
      </c>
      <c r="Y39" s="64" t="inlineStr">
        <is>
          <t>· Gartner《Hype Cycle for Platform Engineering 2026》《AI Evaluation and Observability Platforms》Peer Insights
· 行业 LLMOps 平台评测（Atlan/TrueFoundry 2026）
· 采集时间：2026-07-07（Gartner分析师2026-06-12推荐新增；与002/011关联，以本条目为主、002/011为补充）
·【2026-07-14复核增补】金融监管总局《关于银行业保险业人工智能安全开发应用的指导意见》（2026.06.18）
·【2026-07-15深化增补】方法论专章依据既有TrueFoundry对Gartner平台工程Hype Cycle的解读引注（[7]）展开，未新增外部来源。</t>
        </is>
      </c>
      <c r="Z39" s="57" t="inlineStr">
        <is>
          <t>高</t>
        </is>
      </c>
      <c r="AA39" s="58" t="inlineStr">
        <is>
          <t>在库—已深化研究</t>
        </is>
      </c>
      <c r="AB39" s="58" t="n"/>
      <c r="AC39" s="58" t="inlineStr">
        <is>
          <t>2026-07-20</t>
        </is>
      </c>
      <c r="AD39" s="58" t="inlineStr">
        <is>
          <t>Gartner分析师2026-06-12推荐新增，2026-07-07完成四维研判与分层；2026-07-07：ZT036专题深化v1.0入库（约5600字，10条文献）；四维复核维持论证层；建议《大模型应用投产评估规范》即刻起草；Gartner AEOP品类确立为关键信号；2026-07-20补入Gartner原图与全文</t>
        </is>
      </c>
      <c r="AE39" s="58" t="inlineStr">
        <is>
          <t>Gartner分析师20260612推荐</t>
        </is>
      </c>
    </row>
  </sheetData>
  <mergeCells count="2">
    <mergeCell ref="A1:AE1"/>
    <mergeCell ref="A2:A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2" customWidth="1" style="22" min="1" max="3"/>
    <col width="26" customWidth="1" style="22" min="4" max="4"/>
  </cols>
  <sheetData>
    <row r="1" ht="16.15" customHeight="1" s="23">
      <c r="A1" s="70" t="inlineStr">
        <is>
          <t>储备库分层汇总</t>
        </is>
      </c>
    </row>
    <row r="2">
      <c r="A2" s="54" t="n"/>
      <c r="B2" s="54" t="n"/>
      <c r="C2" s="54" t="n"/>
      <c r="D2" s="54" t="n"/>
    </row>
    <row r="3" ht="15" customHeight="1" s="23">
      <c r="A3" s="56" t="inlineStr">
        <is>
          <t>储备库层级</t>
        </is>
      </c>
      <c r="B3" s="56" t="inlineStr">
        <is>
          <t>处置档位</t>
        </is>
      </c>
      <c r="C3" s="56" t="inlineStr">
        <is>
          <t>技术数量</t>
        </is>
      </c>
      <c r="D3" s="56" t="inlineStr">
        <is>
          <t>时间优先级（附录2）</t>
        </is>
      </c>
    </row>
    <row r="4" ht="15" customHeight="1" s="23">
      <c r="A4" s="71" t="inlineStr">
        <is>
          <t>布局层</t>
        </is>
      </c>
      <c r="B4" s="60" t="inlineStr">
        <is>
          <t>提前布局</t>
        </is>
      </c>
      <c r="C4" s="72">
        <f>COUNTIF(储备库分层台账!F:F,"布局层")</f>
        <v/>
      </c>
      <c r="D4" s="58" t="inlineStr">
        <is>
          <t>现在必须开始（0–2年）/中期</t>
        </is>
      </c>
    </row>
    <row r="5" ht="15" customHeight="1" s="23">
      <c r="A5" s="73" t="inlineStr">
        <is>
          <t>论证层</t>
        </is>
      </c>
      <c r="B5" s="60" t="inlineStr">
        <is>
          <t>系统论证</t>
        </is>
      </c>
      <c r="C5" s="72">
        <f>COUNTIF(储备库分层台账!F:F,"论证层")</f>
        <v/>
      </c>
      <c r="D5" s="58" t="inlineStr">
        <is>
          <t>现在必须开始（0–2年）</t>
        </is>
      </c>
    </row>
    <row r="6" ht="15" customHeight="1" s="23">
      <c r="A6" s="74" t="inlineStr">
        <is>
          <t>研究层</t>
        </is>
      </c>
      <c r="B6" s="60" t="inlineStr">
        <is>
          <t>深入研究</t>
        </is>
      </c>
      <c r="C6" s="72">
        <f>COUNTIF(储备库分层台账!F:F,"研究层")</f>
        <v/>
      </c>
      <c r="D6" s="58" t="inlineStr">
        <is>
          <t>3–5年关键布局</t>
        </is>
      </c>
    </row>
    <row r="7" ht="15" customHeight="1" s="23">
      <c r="A7" s="75" t="inlineStr">
        <is>
          <t>观察层</t>
        </is>
      </c>
      <c r="B7" s="60" t="inlineStr">
        <is>
          <t>动态观察</t>
        </is>
      </c>
      <c r="C7" s="72">
        <f>COUNTIF(储备库分层台账!F:F,"观察层")</f>
        <v/>
      </c>
      <c r="D7" s="58" t="inlineStr">
        <is>
          <t>长期战略（5年以上）</t>
        </is>
      </c>
    </row>
    <row r="8" ht="15" customHeight="1" s="23">
      <c r="A8" s="72" t="inlineStr">
        <is>
          <t>合计</t>
        </is>
      </c>
      <c r="B8" s="57" t="n"/>
      <c r="C8" s="60">
        <f>SUM(C4:C7)</f>
        <v/>
      </c>
      <c r="D8" s="58" t="n"/>
    </row>
  </sheetData>
  <mergeCells count="1">
    <mergeCell ref="A1:D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B2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0" zeroHeight="0" outlineLevelRow="0"/>
  <cols>
    <col width="14" customWidth="1" style="22" min="1" max="1"/>
    <col width="88" customWidth="1" style="22" min="2" max="2"/>
  </cols>
  <sheetData>
    <row r="1" ht="16.15" customHeight="1" s="23">
      <c r="A1" s="70" t="inlineStr">
        <is>
          <t>字段与评级说明</t>
        </is>
      </c>
    </row>
    <row r="2">
      <c r="A2" s="54" t="n"/>
      <c r="B2" s="54" t="n"/>
    </row>
    <row r="3" ht="15" customHeight="1" s="23">
      <c r="A3" s="56" t="inlineStr">
        <is>
          <t>项目</t>
        </is>
      </c>
      <c r="B3" s="56" t="inlineStr">
        <is>
          <t>说明</t>
        </is>
      </c>
    </row>
    <row r="4" s="23">
      <c r="A4" s="76" t="inlineStr">
        <is>
          <t>台账字段</t>
        </is>
      </c>
      <c r="B4" s="58" t="inlineStr">
        <is>
          <t>对应《方案》附录3台账要求：技术名称、所属战略方向、企业级架构维度、技术属性、来源出处、成熟度、关注度、处置状态、责任人、最近更新日期；并补充前沿技术雷达六维评级及研判依据、技术定义/颠覆性趋势/对银行的价值/当前局限性、储备库层级与处置档位、研判结论与处置逻辑等，形成一技一档的完整研判记录。列序按五段式排列：身份与分类字段→研判结论与处置逻辑→六维分值→六维研判依据→其余技术内容字段→管理性字段（详见FA001）。</t>
        </is>
      </c>
    </row>
    <row r="5" s="23">
      <c r="A5" s="76" t="inlineStr">
        <is>
          <t>排序规则</t>
        </is>
      </c>
      <c r="B5" s="58" t="inlineStr">
        <is>
          <t>数据行按技术序号升序排列（001–036）；新技术顺延编号、终身不复用。</t>
        </is>
      </c>
    </row>
    <row r="6" s="23">
      <c r="A6" s="76" t="inlineStr">
        <is>
          <t>所属战略方向</t>
        </is>
      </c>
      <c r="B6" s="58" t="inlineStr">
        <is>
          <t>以《方案》人工智能、数据要素、量子科技三大战略方向为主；长名单扩容后放宽至银行信息科技全域，故含安全、金融基础设施等跨域标注。</t>
        </is>
      </c>
    </row>
    <row r="7" s="23">
      <c r="A7" s="76" t="inlineStr">
        <is>
          <t>企业级架构维度</t>
        </is>
      </c>
      <c r="B7" s="58" t="inlineStr">
        <is>
          <t>业务、应用、数据、技术、安全 五维企业架构，标注该技术主要作用维度，便于按架构维度归类扫描。</t>
        </is>
      </c>
    </row>
    <row r="8" s="23">
      <c r="A8" s="76" t="inlineStr">
        <is>
          <t>技术属性</t>
        </is>
      </c>
      <c r="B8" s="58" t="inlineStr">
        <is>
          <t>关键、新兴、未来 三类，刻画技术在演进曲线上的位置；含跨档表述（如“新兴（向关键演进）”）。</t>
        </is>
      </c>
    </row>
    <row r="9" s="23">
      <c r="A9" s="76" t="inlineStr">
        <is>
          <t>储备库层级</t>
        </is>
      </c>
      <c r="B9" s="58" t="inlineStr">
        <is>
          <t>布局层、论证层、研究层、观察层 四层，对应《方案》图3分层与动态滚动管理。当前分布（2026-08-19，8项技术六维复核处置档位调整确认后）：布局6、论证10、研究10、观察10，合计36项。</t>
        </is>
      </c>
    </row>
    <row r="10" s="23">
      <c r="A10" s="76" t="inlineStr">
        <is>
          <t>处置档位</t>
        </is>
      </c>
      <c r="B10" s="58" t="inlineStr">
        <is>
          <t>提前布局、系统论证、深入研究、动态观察，与储备库层级一一对应（附录2）。</t>
        </is>
      </c>
    </row>
    <row r="11" s="23">
      <c r="A11" s="76" t="inlineStr">
        <is>
          <t>时间优先级</t>
        </is>
      </c>
      <c r="B11" s="58" t="inlineStr">
        <is>
          <t>布局层、论证层为“现在必须开始（0–2年）”；研究层为“3–5年关键布局”；观察层为“长期战略（5年以上）”（附录2）。</t>
        </is>
      </c>
    </row>
    <row r="12" s="23">
      <c r="A12" s="76" t="inlineStr">
        <is>
          <t>四维评级</t>
        </is>
      </c>
      <c r="B12" s="58" t="inlineStr">
        <is>
          <t>技术成熟度、战略匹配度、价值贡献度、引入可行度、战略紧迫度、生态开放度，六维均为1—5分制、分值越高对引入越有利；口径见《前沿技术雷达评估框架》(PG000) v2.2。其中"引入可行度"按架构/场景改造难度、合规风险、安全风险、人才门槛四项子要素取最低分定档（短板原则）：该维≤2分单列否决，不得直接进入布局/论证层；"战略紧迫度"≤2分单独触发观察层（与其余维度表现无关）。2026-08-19起由原"四维高/中/低三档"正式切换为本六维1—5分制口径。</t>
        </is>
      </c>
    </row>
    <row r="13" s="23">
      <c r="A13" s="76" t="inlineStr">
        <is>
          <t>层级配色</t>
        </is>
      </c>
      <c r="B13" s="58" t="inlineStr">
        <is>
          <t>储备库层级列按层级固定配色、同层同色：布局层浅粉、论证层浅橙、研究层浅黄、观察层浅绿。</t>
        </is>
      </c>
    </row>
    <row r="14" s="23">
      <c r="A14" s="76" t="inlineStr">
        <is>
          <t>评级配色约定</t>
        </is>
      </c>
      <c r="B14" s="58" t="inlineStr">
        <is>
          <t>储备库层级列按层级固定配色、同层同色：布局层浅粉(FCE4E4)、论证层浅橙(FCE9D9)、研究层浅黄(FFF2CC)、观察层浅绿(E2EFDA)，随处置档位调整自动同步重涂。</t>
        </is>
      </c>
    </row>
    <row r="15" s="23">
      <c r="A15" s="76" t="inlineStr">
        <is>
          <t>关注度</t>
        </is>
      </c>
      <c r="B15" s="58" t="inlineStr">
        <is>
          <t>极高、高、中—高、中，反映外部热度与我行跟踪优先级。</t>
        </is>
      </c>
    </row>
    <row r="16" s="23">
      <c r="A16" s="76" t="inlineStr">
        <is>
          <t>处置状态</t>
        </is>
      </c>
      <c r="B16" s="58" t="inlineStr">
        <is>
          <t>在库—已深化研究、在库—待研究、在库—动态观察，随研究进展动态更新：已形成深化研究报告者记“已深化研究”，观察层记“动态观察”，其余在库待立项深化者记“待研究”；滚动管理中的降层、调出、移出亦在此列留痕。</t>
        </is>
      </c>
    </row>
    <row r="17" s="23">
      <c r="A17" s="76" t="inlineStr">
        <is>
          <t>外部来源标注</t>
        </is>
      </c>
      <c r="B17" s="58" t="inlineStr">
        <is>
          <t>记录纳入长名单的外部权威来源（如“Gartner分析师20260612推荐”）；与库内已有条目重叠者，以外部推荐命名为主、原名并入“备注”留痕。</t>
        </is>
      </c>
    </row>
    <row r="18" s="23">
      <c r="A18" s="76" t="inlineStr">
        <is>
          <t>责任人</t>
        </is>
      </c>
      <c r="B18" s="58" t="inlineStr">
        <is>
          <t>待机制分工确定后回填（研判评估岗）。</t>
        </is>
      </c>
    </row>
    <row r="19" s="23">
      <c r="A19" s="76" t="inlineStr">
        <is>
          <t>维护机制</t>
        </is>
      </c>
      <c r="B19" s="58" t="inlineStr">
        <is>
          <t>月度采集例会确定新增与调整；每季度复核成熟度演进与应用进展，动态调入调出，并保留版本留痕。</t>
        </is>
      </c>
    </row>
    <row r="20" s="23">
      <c r="A20" s="76" t="n"/>
      <c r="B20" s="58" t="n"/>
    </row>
  </sheetData>
  <mergeCells count="1">
    <mergeCell ref="A1:B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2026-07-06T03:52:27Z</dcterms:created>
  <dcterms:modified xmlns:dcterms="http://purl.org/dc/terms/" xmlns:xsi="http://www.w3.org/2001/XMLSchema-instance" xsi:type="dcterms:W3CDTF">2026-08-19T03:15:29Z</dcterms:modified>
  <cp:revision>0</cp:revision>
</cp:coreProperties>
</file>